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ca0a8bfcd2586657/Documents/Smashpoint Pickleball/"/>
    </mc:Choice>
  </mc:AlternateContent>
  <xr:revisionPtr revIDLastSave="231" documentId="8_{72F67CE3-DBFE-4899-8E6F-DD790F1885DF}" xr6:coauthVersionLast="47" xr6:coauthVersionMax="47" xr10:uidLastSave="{12E366C7-36F8-4485-822E-BF5739D4D359}"/>
  <bookViews>
    <workbookView xWindow="28695" yWindow="0" windowWidth="29010" windowHeight="15585" xr2:uid="{00000000-000D-0000-FFFF-FFFF00000000}"/>
  </bookViews>
  <sheets>
    <sheet name="Membership-Driven (36m)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45" i="1" l="1"/>
  <c r="B39" i="1"/>
  <c r="B40" i="1"/>
  <c r="F35" i="1"/>
  <c r="F34" i="1"/>
  <c r="F31" i="1"/>
  <c r="F30" i="1"/>
  <c r="B33" i="1"/>
  <c r="B30" i="1"/>
  <c r="B32" i="1" s="1"/>
  <c r="B80" i="1"/>
  <c r="B79" i="1"/>
  <c r="B78" i="1"/>
  <c r="B77" i="1"/>
  <c r="B76" i="1"/>
  <c r="B75" i="1"/>
  <c r="B74" i="1"/>
  <c r="B73" i="1"/>
  <c r="B72" i="1"/>
  <c r="B71" i="1"/>
  <c r="B70" i="1"/>
  <c r="B69" i="1"/>
  <c r="B68" i="1"/>
  <c r="B67" i="1"/>
  <c r="B66" i="1"/>
  <c r="B65" i="1"/>
  <c r="B64" i="1"/>
  <c r="B63" i="1"/>
  <c r="B62" i="1"/>
  <c r="B61" i="1"/>
  <c r="B60" i="1"/>
  <c r="B59" i="1"/>
  <c r="B58" i="1"/>
  <c r="B57" i="1"/>
  <c r="B56" i="1"/>
  <c r="B55" i="1"/>
  <c r="B54" i="1"/>
  <c r="B53" i="1"/>
  <c r="B52" i="1"/>
  <c r="B51" i="1"/>
  <c r="B50" i="1"/>
  <c r="B49" i="1"/>
  <c r="B48" i="1"/>
  <c r="B47" i="1"/>
  <c r="B46" i="1"/>
  <c r="B45" i="1"/>
  <c r="B31" i="1" l="1"/>
  <c r="F46" i="1" s="1"/>
  <c r="F68" i="1"/>
  <c r="F50" i="1"/>
  <c r="F52" i="1"/>
  <c r="F63" i="1"/>
  <c r="F59" i="1"/>
  <c r="F65" i="1"/>
  <c r="F53" i="1"/>
  <c r="F54" i="1"/>
  <c r="F64" i="1"/>
  <c r="F49" i="1"/>
  <c r="F71" i="1"/>
  <c r="F79" i="1"/>
  <c r="F69" i="1"/>
  <c r="F78" i="1"/>
  <c r="F57" i="1"/>
  <c r="F48" i="1"/>
  <c r="F47" i="1"/>
  <c r="F77" i="1"/>
  <c r="F55" i="1"/>
  <c r="F74" i="1"/>
  <c r="F51" i="1"/>
  <c r="F66" i="1"/>
  <c r="K45" i="1"/>
  <c r="L45" i="1" s="1"/>
  <c r="M45" i="1" s="1"/>
  <c r="N45" i="1" s="1"/>
  <c r="D45" i="1"/>
  <c r="C46" i="1"/>
  <c r="F38" i="1"/>
  <c r="E45" i="1" l="1"/>
  <c r="F41" i="1"/>
  <c r="F42" i="1" s="1"/>
  <c r="F70" i="1"/>
  <c r="F45" i="1"/>
  <c r="F60" i="1"/>
  <c r="F80" i="1"/>
  <c r="F62" i="1"/>
  <c r="F75" i="1"/>
  <c r="F58" i="1"/>
  <c r="F67" i="1"/>
  <c r="F73" i="1"/>
  <c r="F61" i="1"/>
  <c r="F76" i="1"/>
  <c r="F56" i="1"/>
  <c r="F72" i="1"/>
  <c r="C47" i="1"/>
  <c r="K46" i="1"/>
  <c r="L46" i="1" s="1"/>
  <c r="D46" i="1"/>
  <c r="E46" i="1" s="1"/>
  <c r="G46" i="1" s="1"/>
  <c r="O45" i="1"/>
  <c r="P45" i="1" s="1"/>
  <c r="Q45" i="1" s="1"/>
  <c r="B85" i="1" l="1"/>
  <c r="G45" i="1"/>
  <c r="H45" i="1" s="1"/>
  <c r="J45" i="1" s="1"/>
  <c r="O46" i="1"/>
  <c r="P46" i="1" s="1"/>
  <c r="Q46" i="1" s="1"/>
  <c r="M46" i="1"/>
  <c r="N46" i="1" s="1"/>
  <c r="C48" i="1"/>
  <c r="K47" i="1"/>
  <c r="L47" i="1" s="1"/>
  <c r="D47" i="1"/>
  <c r="E47" i="1" s="1"/>
  <c r="G47" i="1" s="1"/>
  <c r="H46" i="1"/>
  <c r="J46" i="1" s="1"/>
  <c r="I46" i="1" l="1"/>
  <c r="R46" i="1" s="1"/>
  <c r="I45" i="1"/>
  <c r="O47" i="1"/>
  <c r="P47" i="1" s="1"/>
  <c r="Q47" i="1" s="1"/>
  <c r="M47" i="1"/>
  <c r="N47" i="1" s="1"/>
  <c r="D85" i="1" s="1"/>
  <c r="C49" i="1"/>
  <c r="K48" i="1"/>
  <c r="L48" i="1" s="1"/>
  <c r="D48" i="1"/>
  <c r="E48" i="1" s="1"/>
  <c r="H47" i="1"/>
  <c r="J47" i="1" s="1"/>
  <c r="M48" i="1" l="1"/>
  <c r="N48" i="1" s="1"/>
  <c r="O48" i="1"/>
  <c r="P48" i="1" s="1"/>
  <c r="Q48" i="1" s="1"/>
  <c r="C50" i="1"/>
  <c r="B86" i="1" s="1"/>
  <c r="K49" i="1"/>
  <c r="L49" i="1" s="1"/>
  <c r="D49" i="1"/>
  <c r="E49" i="1" s="1"/>
  <c r="I47" i="1"/>
  <c r="C85" i="1" s="1"/>
  <c r="G48" i="1"/>
  <c r="R47" i="1"/>
  <c r="R45" i="1"/>
  <c r="E85" i="1" l="1"/>
  <c r="M49" i="1"/>
  <c r="N49" i="1" s="1"/>
  <c r="O49" i="1"/>
  <c r="P49" i="1" s="1"/>
  <c r="Q49" i="1" s="1"/>
  <c r="C51" i="1"/>
  <c r="K50" i="1"/>
  <c r="L50" i="1" s="1"/>
  <c r="D50" i="1"/>
  <c r="E50" i="1" s="1"/>
  <c r="H48" i="1"/>
  <c r="J48" i="1" s="1"/>
  <c r="G49" i="1"/>
  <c r="M50" i="1" l="1"/>
  <c r="N50" i="1" s="1"/>
  <c r="O50" i="1"/>
  <c r="P50" i="1" s="1"/>
  <c r="Q50" i="1" s="1"/>
  <c r="C52" i="1"/>
  <c r="K51" i="1"/>
  <c r="L51" i="1" s="1"/>
  <c r="D51" i="1"/>
  <c r="E51" i="1" s="1"/>
  <c r="H49" i="1"/>
  <c r="J49" i="1" s="1"/>
  <c r="I48" i="1"/>
  <c r="G50" i="1"/>
  <c r="D86" i="1" l="1"/>
  <c r="R48" i="1"/>
  <c r="O51" i="1"/>
  <c r="P51" i="1" s="1"/>
  <c r="Q51" i="1" s="1"/>
  <c r="M51" i="1"/>
  <c r="N51" i="1" s="1"/>
  <c r="C53" i="1"/>
  <c r="B87" i="1" s="1"/>
  <c r="K52" i="1"/>
  <c r="L52" i="1" s="1"/>
  <c r="D52" i="1"/>
  <c r="E52" i="1" s="1"/>
  <c r="H50" i="1"/>
  <c r="J50" i="1" s="1"/>
  <c r="I49" i="1"/>
  <c r="R49" i="1" s="1"/>
  <c r="G51" i="1"/>
  <c r="O52" i="1" l="1"/>
  <c r="P52" i="1" s="1"/>
  <c r="Q52" i="1" s="1"/>
  <c r="M52" i="1"/>
  <c r="N52" i="1" s="1"/>
  <c r="C54" i="1"/>
  <c r="K53" i="1"/>
  <c r="L53" i="1" s="1"/>
  <c r="D53" i="1"/>
  <c r="E53" i="1" s="1"/>
  <c r="H51" i="1"/>
  <c r="J51" i="1" s="1"/>
  <c r="I50" i="1"/>
  <c r="R50" i="1" s="1"/>
  <c r="G52" i="1"/>
  <c r="E86" i="1" l="1"/>
  <c r="C86" i="1"/>
  <c r="I51" i="1"/>
  <c r="O53" i="1"/>
  <c r="P53" i="1" s="1"/>
  <c r="Q53" i="1" s="1"/>
  <c r="M53" i="1"/>
  <c r="N53" i="1" s="1"/>
  <c r="D87" i="1" s="1"/>
  <c r="C55" i="1"/>
  <c r="K54" i="1"/>
  <c r="L54" i="1" s="1"/>
  <c r="D54" i="1"/>
  <c r="E54" i="1" s="1"/>
  <c r="H52" i="1"/>
  <c r="J52" i="1" s="1"/>
  <c r="G53" i="1"/>
  <c r="R51" i="1"/>
  <c r="M54" i="1" l="1"/>
  <c r="N54" i="1" s="1"/>
  <c r="O54" i="1"/>
  <c r="P54" i="1" s="1"/>
  <c r="Q54" i="1" s="1"/>
  <c r="C56" i="1"/>
  <c r="B100" i="1" s="1"/>
  <c r="K55" i="1"/>
  <c r="L55" i="1" s="1"/>
  <c r="D55" i="1"/>
  <c r="E55" i="1" s="1"/>
  <c r="H53" i="1"/>
  <c r="J53" i="1" s="1"/>
  <c r="I52" i="1"/>
  <c r="R52" i="1" s="1"/>
  <c r="G54" i="1"/>
  <c r="B88" i="1" l="1"/>
  <c r="O55" i="1"/>
  <c r="P55" i="1" s="1"/>
  <c r="Q55" i="1" s="1"/>
  <c r="M55" i="1"/>
  <c r="N55" i="1" s="1"/>
  <c r="C57" i="1"/>
  <c r="K56" i="1"/>
  <c r="L56" i="1" s="1"/>
  <c r="D56" i="1"/>
  <c r="E56" i="1" s="1"/>
  <c r="H54" i="1"/>
  <c r="I53" i="1"/>
  <c r="R53" i="1" s="1"/>
  <c r="G55" i="1"/>
  <c r="E87" i="1" l="1"/>
  <c r="C87" i="1"/>
  <c r="I54" i="1"/>
  <c r="J54" i="1"/>
  <c r="O56" i="1"/>
  <c r="P56" i="1" s="1"/>
  <c r="Q56" i="1" s="1"/>
  <c r="M56" i="1"/>
  <c r="N56" i="1" s="1"/>
  <c r="D100" i="1" s="1"/>
  <c r="C58" i="1"/>
  <c r="K57" i="1"/>
  <c r="L57" i="1" s="1"/>
  <c r="D57" i="1"/>
  <c r="E57" i="1" s="1"/>
  <c r="H55" i="1"/>
  <c r="J55" i="1" s="1"/>
  <c r="G56" i="1"/>
  <c r="D88" i="1" l="1"/>
  <c r="I55" i="1"/>
  <c r="O57" i="1"/>
  <c r="P57" i="1" s="1"/>
  <c r="Q57" i="1" s="1"/>
  <c r="M57" i="1"/>
  <c r="N57" i="1" s="1"/>
  <c r="C59" i="1"/>
  <c r="B89" i="1" s="1"/>
  <c r="K58" i="1"/>
  <c r="L58" i="1" s="1"/>
  <c r="D58" i="1"/>
  <c r="E58" i="1" s="1"/>
  <c r="H56" i="1"/>
  <c r="J56" i="1" s="1"/>
  <c r="R54" i="1"/>
  <c r="G57" i="1"/>
  <c r="R55" i="1" l="1"/>
  <c r="O58" i="1"/>
  <c r="P58" i="1" s="1"/>
  <c r="Q58" i="1" s="1"/>
  <c r="M58" i="1"/>
  <c r="N58" i="1" s="1"/>
  <c r="C60" i="1"/>
  <c r="K59" i="1"/>
  <c r="L59" i="1" s="1"/>
  <c r="D59" i="1"/>
  <c r="E59" i="1" s="1"/>
  <c r="H57" i="1"/>
  <c r="J57" i="1" s="1"/>
  <c r="I56" i="1"/>
  <c r="G58" i="1"/>
  <c r="R56" i="1" l="1"/>
  <c r="E88" i="1" s="1"/>
  <c r="C100" i="1"/>
  <c r="C88" i="1"/>
  <c r="I57" i="1"/>
  <c r="O59" i="1"/>
  <c r="P59" i="1" s="1"/>
  <c r="Q59" i="1" s="1"/>
  <c r="M59" i="1"/>
  <c r="N59" i="1" s="1"/>
  <c r="C61" i="1"/>
  <c r="K60" i="1"/>
  <c r="L60" i="1" s="1"/>
  <c r="D60" i="1"/>
  <c r="E60" i="1" s="1"/>
  <c r="H58" i="1"/>
  <c r="G59" i="1"/>
  <c r="D89" i="1" l="1"/>
  <c r="E100" i="1"/>
  <c r="R57" i="1"/>
  <c r="O60" i="1"/>
  <c r="P60" i="1" s="1"/>
  <c r="Q60" i="1" s="1"/>
  <c r="M60" i="1"/>
  <c r="N60" i="1" s="1"/>
  <c r="I58" i="1"/>
  <c r="J58" i="1"/>
  <c r="C62" i="1"/>
  <c r="B90" i="1" s="1"/>
  <c r="K61" i="1"/>
  <c r="L61" i="1" s="1"/>
  <c r="D61" i="1"/>
  <c r="E61" i="1" s="1"/>
  <c r="H59" i="1"/>
  <c r="J59" i="1" s="1"/>
  <c r="R58" i="1"/>
  <c r="G60" i="1"/>
  <c r="I59" i="1" l="1"/>
  <c r="R59" i="1" s="1"/>
  <c r="O61" i="1"/>
  <c r="P61" i="1" s="1"/>
  <c r="Q61" i="1" s="1"/>
  <c r="M61" i="1"/>
  <c r="N61" i="1" s="1"/>
  <c r="C63" i="1"/>
  <c r="K62" i="1"/>
  <c r="L62" i="1" s="1"/>
  <c r="D62" i="1"/>
  <c r="E62" i="1" s="1"/>
  <c r="H60" i="1"/>
  <c r="J60" i="1" s="1"/>
  <c r="G61" i="1"/>
  <c r="E89" i="1" l="1"/>
  <c r="C89" i="1"/>
  <c r="I60" i="1"/>
  <c r="O62" i="1"/>
  <c r="P62" i="1" s="1"/>
  <c r="Q62" i="1" s="1"/>
  <c r="M62" i="1"/>
  <c r="N62" i="1" s="1"/>
  <c r="D90" i="1" s="1"/>
  <c r="C64" i="1"/>
  <c r="K63" i="1"/>
  <c r="L63" i="1" s="1"/>
  <c r="D63" i="1"/>
  <c r="E63" i="1" s="1"/>
  <c r="H61" i="1"/>
  <c r="J61" i="1" s="1"/>
  <c r="G62" i="1"/>
  <c r="R60" i="1" l="1"/>
  <c r="I61" i="1"/>
  <c r="R61" i="1" s="1"/>
  <c r="O63" i="1"/>
  <c r="P63" i="1" s="1"/>
  <c r="Q63" i="1" s="1"/>
  <c r="M63" i="1"/>
  <c r="N63" i="1" s="1"/>
  <c r="C65" i="1"/>
  <c r="B91" i="1" s="1"/>
  <c r="K64" i="1"/>
  <c r="L64" i="1" s="1"/>
  <c r="D64" i="1"/>
  <c r="E64" i="1" s="1"/>
  <c r="H62" i="1"/>
  <c r="J62" i="1" s="1"/>
  <c r="G63" i="1"/>
  <c r="M64" i="1" l="1"/>
  <c r="N64" i="1" s="1"/>
  <c r="O64" i="1"/>
  <c r="P64" i="1" s="1"/>
  <c r="Q64" i="1" s="1"/>
  <c r="C66" i="1"/>
  <c r="K65" i="1"/>
  <c r="L65" i="1" s="1"/>
  <c r="D65" i="1"/>
  <c r="E65" i="1" s="1"/>
  <c r="H63" i="1"/>
  <c r="J63" i="1" s="1"/>
  <c r="I62" i="1"/>
  <c r="R62" i="1" s="1"/>
  <c r="G64" i="1"/>
  <c r="E90" i="1" l="1"/>
  <c r="C90" i="1"/>
  <c r="I63" i="1"/>
  <c r="M65" i="1"/>
  <c r="N65" i="1" s="1"/>
  <c r="O65" i="1"/>
  <c r="P65" i="1" s="1"/>
  <c r="Q65" i="1" s="1"/>
  <c r="K66" i="1"/>
  <c r="L66" i="1" s="1"/>
  <c r="D66" i="1"/>
  <c r="E66" i="1" s="1"/>
  <c r="C67" i="1"/>
  <c r="H64" i="1"/>
  <c r="J64" i="1" s="1"/>
  <c r="G65" i="1"/>
  <c r="D91" i="1" l="1"/>
  <c r="R63" i="1"/>
  <c r="K67" i="1"/>
  <c r="L67" i="1" s="1"/>
  <c r="D67" i="1"/>
  <c r="E67" i="1" s="1"/>
  <c r="C68" i="1"/>
  <c r="B101" i="1" s="1"/>
  <c r="M66" i="1"/>
  <c r="N66" i="1" s="1"/>
  <c r="O66" i="1"/>
  <c r="P66" i="1" s="1"/>
  <c r="Q66" i="1" s="1"/>
  <c r="H65" i="1"/>
  <c r="J65" i="1" s="1"/>
  <c r="I64" i="1"/>
  <c r="R64" i="1" s="1"/>
  <c r="G66" i="1"/>
  <c r="B92" i="1" l="1"/>
  <c r="K68" i="1"/>
  <c r="L68" i="1" s="1"/>
  <c r="D68" i="1"/>
  <c r="E68" i="1" s="1"/>
  <c r="C69" i="1"/>
  <c r="M67" i="1"/>
  <c r="N67" i="1" s="1"/>
  <c r="O67" i="1"/>
  <c r="P67" i="1" s="1"/>
  <c r="Q67" i="1" s="1"/>
  <c r="H66" i="1"/>
  <c r="J66" i="1" s="1"/>
  <c r="I65" i="1"/>
  <c r="R65" i="1" s="1"/>
  <c r="G67" i="1"/>
  <c r="E91" i="1" l="1"/>
  <c r="C91" i="1"/>
  <c r="I66" i="1"/>
  <c r="K69" i="1"/>
  <c r="L69" i="1" s="1"/>
  <c r="D69" i="1"/>
  <c r="E69" i="1" s="1"/>
  <c r="C70" i="1"/>
  <c r="M68" i="1"/>
  <c r="N68" i="1" s="1"/>
  <c r="D101" i="1" s="1"/>
  <c r="O68" i="1"/>
  <c r="P68" i="1" s="1"/>
  <c r="Q68" i="1" s="1"/>
  <c r="H67" i="1"/>
  <c r="G68" i="1"/>
  <c r="D92" i="1" l="1"/>
  <c r="R66" i="1"/>
  <c r="I67" i="1"/>
  <c r="J67" i="1"/>
  <c r="K70" i="1"/>
  <c r="L70" i="1" s="1"/>
  <c r="D70" i="1"/>
  <c r="E70" i="1" s="1"/>
  <c r="C71" i="1"/>
  <c r="O69" i="1"/>
  <c r="P69" i="1" s="1"/>
  <c r="Q69" i="1" s="1"/>
  <c r="M69" i="1"/>
  <c r="N69" i="1" s="1"/>
  <c r="H68" i="1"/>
  <c r="J68" i="1" s="1"/>
  <c r="G69" i="1"/>
  <c r="B93" i="1" l="1"/>
  <c r="K71" i="1"/>
  <c r="L71" i="1" s="1"/>
  <c r="D71" i="1"/>
  <c r="E71" i="1" s="1"/>
  <c r="C72" i="1"/>
  <c r="M70" i="1"/>
  <c r="N70" i="1" s="1"/>
  <c r="O70" i="1"/>
  <c r="P70" i="1" s="1"/>
  <c r="Q70" i="1" s="1"/>
  <c r="H69" i="1"/>
  <c r="J69" i="1" s="1"/>
  <c r="I68" i="1"/>
  <c r="R67" i="1"/>
  <c r="G70" i="1"/>
  <c r="E92" i="1" l="1"/>
  <c r="R68" i="1"/>
  <c r="E101" i="1" s="1"/>
  <c r="C101" i="1"/>
  <c r="C92" i="1"/>
  <c r="K72" i="1"/>
  <c r="L72" i="1" s="1"/>
  <c r="D72" i="1"/>
  <c r="E72" i="1" s="1"/>
  <c r="C73" i="1"/>
  <c r="M71" i="1"/>
  <c r="N71" i="1" s="1"/>
  <c r="O71" i="1"/>
  <c r="P71" i="1" s="1"/>
  <c r="Q71" i="1" s="1"/>
  <c r="H70" i="1"/>
  <c r="J70" i="1" s="1"/>
  <c r="I69" i="1"/>
  <c r="G71" i="1"/>
  <c r="D93" i="1" l="1"/>
  <c r="R69" i="1"/>
  <c r="K73" i="1"/>
  <c r="L73" i="1" s="1"/>
  <c r="D73" i="1"/>
  <c r="E73" i="1" s="1"/>
  <c r="C74" i="1"/>
  <c r="B94" i="1" s="1"/>
  <c r="M72" i="1"/>
  <c r="N72" i="1" s="1"/>
  <c r="O72" i="1"/>
  <c r="P72" i="1" s="1"/>
  <c r="Q72" i="1" s="1"/>
  <c r="H71" i="1"/>
  <c r="J71" i="1" s="1"/>
  <c r="I70" i="1"/>
  <c r="R70" i="1"/>
  <c r="G72" i="1"/>
  <c r="I71" i="1" l="1"/>
  <c r="R71" i="1" s="1"/>
  <c r="K74" i="1"/>
  <c r="L74" i="1" s="1"/>
  <c r="D74" i="1"/>
  <c r="E74" i="1" s="1"/>
  <c r="C75" i="1"/>
  <c r="M73" i="1"/>
  <c r="N73" i="1" s="1"/>
  <c r="O73" i="1"/>
  <c r="P73" i="1" s="1"/>
  <c r="Q73" i="1" s="1"/>
  <c r="H72" i="1"/>
  <c r="J72" i="1" s="1"/>
  <c r="G73" i="1"/>
  <c r="E93" i="1" l="1"/>
  <c r="C93" i="1"/>
  <c r="K75" i="1"/>
  <c r="L75" i="1" s="1"/>
  <c r="D75" i="1"/>
  <c r="E75" i="1" s="1"/>
  <c r="C76" i="1"/>
  <c r="O74" i="1"/>
  <c r="P74" i="1" s="1"/>
  <c r="Q74" i="1" s="1"/>
  <c r="M74" i="1"/>
  <c r="N74" i="1" s="1"/>
  <c r="D94" i="1" s="1"/>
  <c r="H73" i="1"/>
  <c r="J73" i="1" s="1"/>
  <c r="I72" i="1"/>
  <c r="G74" i="1"/>
  <c r="R72" i="1" l="1"/>
  <c r="K76" i="1"/>
  <c r="L76" i="1" s="1"/>
  <c r="D76" i="1"/>
  <c r="E76" i="1" s="1"/>
  <c r="C77" i="1"/>
  <c r="B95" i="1" s="1"/>
  <c r="O75" i="1"/>
  <c r="P75" i="1" s="1"/>
  <c r="Q75" i="1" s="1"/>
  <c r="M75" i="1"/>
  <c r="N75" i="1" s="1"/>
  <c r="I73" i="1"/>
  <c r="R73" i="1" s="1"/>
  <c r="H74" i="1"/>
  <c r="J74" i="1" s="1"/>
  <c r="G75" i="1"/>
  <c r="K77" i="1" l="1"/>
  <c r="L77" i="1" s="1"/>
  <c r="D77" i="1"/>
  <c r="E77" i="1" s="1"/>
  <c r="C78" i="1"/>
  <c r="M76" i="1"/>
  <c r="N76" i="1" s="1"/>
  <c r="O76" i="1"/>
  <c r="P76" i="1" s="1"/>
  <c r="Q76" i="1" s="1"/>
  <c r="H75" i="1"/>
  <c r="J75" i="1" s="1"/>
  <c r="I74" i="1"/>
  <c r="R74" i="1" s="1"/>
  <c r="G76" i="1"/>
  <c r="E94" i="1" l="1"/>
  <c r="C94" i="1"/>
  <c r="K78" i="1"/>
  <c r="L78" i="1" s="1"/>
  <c r="D78" i="1"/>
  <c r="E78" i="1" s="1"/>
  <c r="C79" i="1"/>
  <c r="O77" i="1"/>
  <c r="P77" i="1" s="1"/>
  <c r="Q77" i="1" s="1"/>
  <c r="M77" i="1"/>
  <c r="N77" i="1" s="1"/>
  <c r="H76" i="1"/>
  <c r="J76" i="1" s="1"/>
  <c r="I75" i="1"/>
  <c r="G77" i="1"/>
  <c r="D95" i="1" l="1"/>
  <c r="R75" i="1"/>
  <c r="K79" i="1"/>
  <c r="L79" i="1" s="1"/>
  <c r="D79" i="1"/>
  <c r="E79" i="1" s="1"/>
  <c r="C80" i="1"/>
  <c r="B102" i="1" s="1"/>
  <c r="O78" i="1"/>
  <c r="P78" i="1" s="1"/>
  <c r="Q78" i="1" s="1"/>
  <c r="M78" i="1"/>
  <c r="N78" i="1" s="1"/>
  <c r="H77" i="1"/>
  <c r="J77" i="1" s="1"/>
  <c r="I76" i="1"/>
  <c r="R76" i="1" s="1"/>
  <c r="G78" i="1"/>
  <c r="B96" i="1" l="1"/>
  <c r="K80" i="1"/>
  <c r="L80" i="1" s="1"/>
  <c r="D80" i="1"/>
  <c r="E80" i="1" s="1"/>
  <c r="O79" i="1"/>
  <c r="P79" i="1" s="1"/>
  <c r="Q79" i="1" s="1"/>
  <c r="M79" i="1"/>
  <c r="N79" i="1" s="1"/>
  <c r="H78" i="1"/>
  <c r="J78" i="1" s="1"/>
  <c r="I77" i="1"/>
  <c r="R77" i="1" s="1"/>
  <c r="G79" i="1"/>
  <c r="C95" i="1" l="1"/>
  <c r="E95" i="1"/>
  <c r="I78" i="1"/>
  <c r="O80" i="1"/>
  <c r="P80" i="1" s="1"/>
  <c r="Q80" i="1" s="1"/>
  <c r="M80" i="1"/>
  <c r="N80" i="1" s="1"/>
  <c r="D102" i="1" s="1"/>
  <c r="R78" i="1"/>
  <c r="H79" i="1"/>
  <c r="J79" i="1" s="1"/>
  <c r="G80" i="1"/>
  <c r="D96" i="1" l="1"/>
  <c r="I79" i="1"/>
  <c r="H80" i="1"/>
  <c r="J80" i="1" s="1"/>
  <c r="I80" i="1"/>
  <c r="C102" i="1" s="1"/>
  <c r="R79" i="1"/>
  <c r="C96" i="1" l="1"/>
  <c r="R80" i="1"/>
  <c r="E102" i="1" s="1"/>
  <c r="E96" i="1" l="1"/>
</calcChain>
</file>

<file path=xl/sharedStrings.xml><?xml version="1.0" encoding="utf-8"?>
<sst xmlns="http://schemas.openxmlformats.org/spreadsheetml/2006/main" count="154" uniqueCount="138">
  <si>
    <t>Membership-Driven Court Revenue Model – 36 months (Monthly) – v4 (Seasonality)</t>
  </si>
  <si>
    <t>Seasonality Index scales demand for member &amp; non-member reservations and open play.</t>
  </si>
  <si>
    <t>INPUTS – Facility &amp; Schedule</t>
  </si>
  <si>
    <t>Courts (count)</t>
  </si>
  <si>
    <t>Days open per week</t>
  </si>
  <si>
    <t>Hours open per day</t>
  </si>
  <si>
    <t>Peak hours share of day</t>
  </si>
  <si>
    <t>Weekend share of days</t>
  </si>
  <si>
    <t>Reservation share of total court time (vs open play)</t>
  </si>
  <si>
    <t>INPUTS – Utilization Baselines (Members)</t>
  </si>
  <si>
    <t>Baseline utilization – Peak (weekday) – Members</t>
  </si>
  <si>
    <t>Baseline utilization – Off-peak (weekday) – Members</t>
  </si>
  <si>
    <t>Baseline utilization – Peak (weekend) – Members</t>
  </si>
  <si>
    <t>Baseline utilization – Off-peak (weekend) – Members</t>
  </si>
  <si>
    <t>INPUTS – Pricing</t>
  </si>
  <si>
    <t>Peak rate – Non-member ($/court-hr)</t>
  </si>
  <si>
    <t>Off-peak rate – Non-member ($/court-hr)</t>
  </si>
  <si>
    <t>Member discount on court rate</t>
  </si>
  <si>
    <t>Open Play price – Member ($/session)</t>
  </si>
  <si>
    <t>Open Play price – Non-member ($/session)</t>
  </si>
  <si>
    <t>Open Play session length (min)</t>
  </si>
  <si>
    <t>INPUTS – Policy &amp; Behavior (Members)</t>
  </si>
  <si>
    <t>No-show rate (paid/no-refund portion)</t>
  </si>
  <si>
    <t>Member booking share of reservations (target)</t>
  </si>
  <si>
    <t>Booking window uplift (members vs non)</t>
  </si>
  <si>
    <t>INPUTS – Membership Growth (drives demand)</t>
  </si>
  <si>
    <t>Starting Members (Month 1)</t>
  </si>
  <si>
    <t>Monthly Member Growth Rate (%)</t>
  </si>
  <si>
    <t>Max Member Capacity (optional)</t>
  </si>
  <si>
    <t>% Members who reserve monthly</t>
  </si>
  <si>
    <t>Avg reservations per reserving member / month</t>
  </si>
  <si>
    <t>Avg reservation duration (min)</t>
  </si>
  <si>
    <t>Avg open-play sessions / member / month</t>
  </si>
  <si>
    <t>Open Play players per court capacity (per hour)</t>
  </si>
  <si>
    <t>INPUTS – Non-member Reservation Demand</t>
  </si>
  <si>
    <t>Baseline utilization – Peak (weekday) – Non-members</t>
  </si>
  <si>
    <t>Baseline utilization – Off-peak (weekday) – Non-members</t>
  </si>
  <si>
    <t>Baseline utilization – Peak (weekend) – Non-members</t>
  </si>
  <si>
    <t>Baseline utilization – Off-peak (weekend) – Non-members</t>
  </si>
  <si>
    <t>Marketing uplift – Non-members (reservations)</t>
  </si>
  <si>
    <t>Non-member reservation cap (% of reservation capacity)</t>
  </si>
  <si>
    <t>SEASONALITY – Monthly Index</t>
  </si>
  <si>
    <t>Month</t>
  </si>
  <si>
    <t>M1</t>
  </si>
  <si>
    <t>M2</t>
  </si>
  <si>
    <t>M3</t>
  </si>
  <si>
    <t>M4</t>
  </si>
  <si>
    <t>M5</t>
  </si>
  <si>
    <t>M6</t>
  </si>
  <si>
    <t>M7</t>
  </si>
  <si>
    <t>M8</t>
  </si>
  <si>
    <t>M9</t>
  </si>
  <si>
    <t>M10</t>
  </si>
  <si>
    <t>M11</t>
  </si>
  <si>
    <t>M12</t>
  </si>
  <si>
    <t>Notes:</t>
  </si>
  <si>
    <t>HELPERS</t>
  </si>
  <si>
    <t>Total Court Hours / month</t>
  </si>
  <si>
    <t>Peak Hours / month</t>
  </si>
  <si>
    <t>Off-Peak Hours / month</t>
  </si>
  <si>
    <t>Open Play Hours Share</t>
  </si>
  <si>
    <t>Blended Utilization</t>
  </si>
  <si>
    <t>Blended Peak Utilization – Members</t>
  </si>
  <si>
    <t>Blended Off-Peak Utilization – Members</t>
  </si>
  <si>
    <t>Blended Utilization – Non-members</t>
  </si>
  <si>
    <t>Blended Peak Utilization – Non-members</t>
  </si>
  <si>
    <t>Blended Off-Peak Utilization – Non-members</t>
  </si>
  <si>
    <t>Reservation Capacity (attended hours cap)</t>
  </si>
  <si>
    <t>Reservation Capacity Hours / month</t>
  </si>
  <si>
    <t>Reservation Rates (blended)</t>
  </si>
  <si>
    <t>Blended Non-member Reservation Rate ($/hr)</t>
  </si>
  <si>
    <t>Blended Member Reservation Rate ($/hr)</t>
  </si>
  <si>
    <t>Reservation Duration (hours)</t>
  </si>
  <si>
    <t>Open Play Session Length (hours)</t>
  </si>
  <si>
    <t>Seasonality Index</t>
  </si>
  <si>
    <t>Members</t>
  </si>
  <si>
    <t>Member Reservation Hours (raw)</t>
  </si>
  <si>
    <t>Member Reservation Hours (capped)</t>
  </si>
  <si>
    <t>Non-member Reservation Demand Hours</t>
  </si>
  <si>
    <t>Non-member Reservation Hours (actual)</t>
  </si>
  <si>
    <t>Avg Reservation Rate ($/hr)</t>
  </si>
  <si>
    <t>Reservation Revenue (attended)</t>
  </si>
  <si>
    <t>No-show Revenue</t>
  </si>
  <si>
    <t>Member Open Play Hours (raw)</t>
  </si>
  <si>
    <t>Member Open Play Hours (capped)</t>
  </si>
  <si>
    <t>Member Open Play Sessions</t>
  </si>
  <si>
    <t>Member Open Play Revenue</t>
  </si>
  <si>
    <t>Non-member Open Play Hours</t>
  </si>
  <si>
    <t>Non-member Open Play Sessions</t>
  </si>
  <si>
    <t>Non-member Open Play Revenue</t>
  </si>
  <si>
    <t>TOTAL Court Revenue ($/mo)</t>
  </si>
  <si>
    <t>M13</t>
  </si>
  <si>
    <t>M14</t>
  </si>
  <si>
    <t>M15</t>
  </si>
  <si>
    <t>M16</t>
  </si>
  <si>
    <t>M17</t>
  </si>
  <si>
    <t>M18</t>
  </si>
  <si>
    <t>M19</t>
  </si>
  <si>
    <t>M20</t>
  </si>
  <si>
    <t>M21</t>
  </si>
  <si>
    <t>M22</t>
  </si>
  <si>
    <t>M23</t>
  </si>
  <si>
    <t>M24</t>
  </si>
  <si>
    <t>M25</t>
  </si>
  <si>
    <t>M26</t>
  </si>
  <si>
    <t>M27</t>
  </si>
  <si>
    <t>M28</t>
  </si>
  <si>
    <t>M29</t>
  </si>
  <si>
    <t>M30</t>
  </si>
  <si>
    <t>M31</t>
  </si>
  <si>
    <t>M32</t>
  </si>
  <si>
    <t>M33</t>
  </si>
  <si>
    <t>M34</t>
  </si>
  <si>
    <t>M35</t>
  </si>
  <si>
    <t>M36</t>
  </si>
  <si>
    <t>Quarterly Summary</t>
  </si>
  <si>
    <t>Quarter</t>
  </si>
  <si>
    <t>Members (avg)</t>
  </si>
  <si>
    <t>Reservation Revenue (incl. no-shows)</t>
  </si>
  <si>
    <t>Open Play Revenue</t>
  </si>
  <si>
    <t>TOTAL Court Revenue</t>
  </si>
  <si>
    <t>Q1 (M1–M3)</t>
  </si>
  <si>
    <t>Q2 (M4–M6)</t>
  </si>
  <si>
    <t>Q3 (M7–M9)</t>
  </si>
  <si>
    <t>Q4 (M10–M12)</t>
  </si>
  <si>
    <t>Q5 (M13–M15)</t>
  </si>
  <si>
    <t>Q6 (M16–M18)</t>
  </si>
  <si>
    <t>Q7 (M19–M21)</t>
  </si>
  <si>
    <t>Q8 (M22–M24)</t>
  </si>
  <si>
    <t>Q9 (M25–M27)</t>
  </si>
  <si>
    <t>Q10 (M28–M30)</t>
  </si>
  <si>
    <t>Q11 (M31–M33)</t>
  </si>
  <si>
    <t>Q12 (M34–M36)</t>
  </si>
  <si>
    <t>Yearly Summary</t>
  </si>
  <si>
    <t>Year</t>
  </si>
  <si>
    <t>Year 1 (M1–M12)</t>
  </si>
  <si>
    <t>Year 2 (M13–M24)</t>
  </si>
  <si>
    <t>Year 3 (M25–M36)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</si>
</sst>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%"/>
    <numFmt numFmtId="165" formatCode="#,##0.0"/>
    <numFmt numFmtId="166" formatCode="\$#,##0.00"/>
  </numFmts>
  <fonts count="6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i/>
      <sz val="11"/>
      <color rgb="FF666666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i/>
      <sz val="9"/>
      <color rgb="FF666666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9E1F2"/>
        <bgColor indexed="64"/>
      </patternFill>
    </fill>
    <fill>
      <patternFill patternType="solid">
        <fgColor rgb="FFEEECE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0" fillId="0" borderId="0" xfId="0" applyAlignment="1">
      <alignment wrapText="1"/>
    </xf>
    <xf numFmtId="0" fontId="3" fillId="2" borderId="1" xfId="0" applyFont="1" applyFill="1" applyBorder="1" applyAlignment="1">
      <alignment wrapText="1"/>
    </xf>
    <xf numFmtId="0" fontId="4" fillId="0" borderId="0" xfId="0" applyFont="1"/>
    <xf numFmtId="0" fontId="3" fillId="2" borderId="1" xfId="0" applyFont="1" applyFill="1" applyBorder="1"/>
    <xf numFmtId="0" fontId="4" fillId="0" borderId="0" xfId="0" applyFont="1" applyAlignment="1">
      <alignment wrapText="1"/>
    </xf>
    <xf numFmtId="3" fontId="4" fillId="0" borderId="0" xfId="0" applyNumberFormat="1" applyFont="1"/>
    <xf numFmtId="164" fontId="4" fillId="0" borderId="0" xfId="0" applyNumberFormat="1" applyFont="1"/>
    <xf numFmtId="165" fontId="4" fillId="0" borderId="0" xfId="0" applyNumberFormat="1" applyFont="1"/>
    <xf numFmtId="166" fontId="4" fillId="0" borderId="0" xfId="0" applyNumberFormat="1" applyFont="1"/>
    <xf numFmtId="0" fontId="3" fillId="0" borderId="0" xfId="0" applyFont="1"/>
    <xf numFmtId="0" fontId="3" fillId="3" borderId="1" xfId="0" applyFont="1" applyFill="1" applyBorder="1" applyAlignment="1">
      <alignment wrapText="1"/>
    </xf>
    <xf numFmtId="0" fontId="3" fillId="3" borderId="1" xfId="0" applyFont="1" applyFill="1" applyBorder="1"/>
    <xf numFmtId="0" fontId="5" fillId="0" borderId="0" xfId="0" applyFont="1" applyAlignment="1"/>
    <xf numFmtId="0" fontId="4" fillId="0" borderId="0" xfId="0" applyFont="1" applyAlignme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148591</xdr:colOff>
      <xdr:row>6</xdr:row>
      <xdr:rowOff>34290</xdr:rowOff>
    </xdr:from>
    <xdr:to>
      <xdr:col>13</xdr:col>
      <xdr:colOff>171451</xdr:colOff>
      <xdr:row>9</xdr:row>
      <xdr:rowOff>133350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32818B7A-E63F-C0F3-59C7-0D9FDA28B569}"/>
            </a:ext>
          </a:extLst>
        </xdr:cNvPr>
        <xdr:cNvSpPr txBox="1"/>
      </xdr:nvSpPr>
      <xdr:spPr>
        <a:xfrm>
          <a:off x="7463791" y="1872615"/>
          <a:ext cx="2175510" cy="119443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Index:</a:t>
          </a:r>
        </a:p>
        <a:p>
          <a:r>
            <a:rPr lang="en-US" sz="1100"/>
            <a:t>Value &gt;1 boosts demand</a:t>
          </a:r>
        </a:p>
        <a:p>
          <a:r>
            <a:rPr lang="en-US" sz="1100"/>
            <a:t>Value &lt;1 reduces demand</a:t>
          </a:r>
          <a:r>
            <a:rPr lang="en-US" sz="1100" baseline="0"/>
            <a:t> </a:t>
          </a:r>
          <a:endParaRPr lang="en-US" sz="1100"/>
        </a:p>
        <a:p>
          <a:endParaRPr lang="en-US" sz="1100"/>
        </a:p>
        <a:p>
          <a:r>
            <a:rPr lang="en-US" sz="1100"/>
            <a:t>Applies to member/non-member reservations &amp; member open play.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02"/>
  <sheetViews>
    <sheetView tabSelected="1" zoomScale="91" zoomScaleNormal="91" workbookViewId="0">
      <selection activeCell="B44" sqref="B44"/>
    </sheetView>
  </sheetViews>
  <sheetFormatPr defaultRowHeight="14.4" x14ac:dyDescent="0.3"/>
  <cols>
    <col min="1" max="1" width="17.88671875" bestFit="1" customWidth="1"/>
    <col min="2" max="2" width="11.33203125" bestFit="1" customWidth="1"/>
    <col min="3" max="3" width="16.109375" bestFit="1" customWidth="1"/>
    <col min="4" max="4" width="10.21875" bestFit="1" customWidth="1"/>
    <col min="5" max="5" width="22.6640625" bestFit="1" customWidth="1"/>
    <col min="6" max="6" width="11.33203125" bestFit="1" customWidth="1"/>
    <col min="7" max="7" width="10.6640625" bestFit="1" customWidth="1"/>
    <col min="8" max="8" width="11.5546875" customWidth="1"/>
    <col min="9" max="9" width="9.33203125" bestFit="1" customWidth="1"/>
    <col min="10" max="10" width="8.33203125" bestFit="1" customWidth="1"/>
    <col min="11" max="11" width="9" bestFit="1" customWidth="1"/>
    <col min="12" max="12" width="11.33203125" customWidth="1"/>
    <col min="13" max="13" width="8" bestFit="1" customWidth="1"/>
    <col min="14" max="14" width="9.33203125" bestFit="1" customWidth="1"/>
    <col min="15" max="17" width="10.5546875" bestFit="1" customWidth="1"/>
    <col min="18" max="18" width="9.6640625" bestFit="1" customWidth="1"/>
  </cols>
  <sheetData>
    <row r="1" spans="1:20" ht="18" x14ac:dyDescent="0.3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 spans="1:20" x14ac:dyDescent="0.3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</row>
    <row r="4" spans="1:20" ht="24.6" x14ac:dyDescent="0.3">
      <c r="A4" s="4" t="s">
        <v>2</v>
      </c>
      <c r="B4" s="5"/>
      <c r="C4" s="5"/>
      <c r="D4" s="5"/>
      <c r="E4" s="4" t="s">
        <v>9</v>
      </c>
      <c r="F4" s="5"/>
      <c r="G4" s="5"/>
      <c r="H4" s="4" t="s">
        <v>41</v>
      </c>
      <c r="I4" s="5"/>
      <c r="J4" s="5"/>
      <c r="K4" s="5"/>
      <c r="L4" s="5"/>
      <c r="M4" s="5"/>
      <c r="N4" s="5"/>
      <c r="O4" s="5"/>
      <c r="P4" s="5"/>
      <c r="Q4" s="5"/>
      <c r="R4" s="5"/>
    </row>
    <row r="5" spans="1:20" ht="24.6" x14ac:dyDescent="0.3">
      <c r="A5" s="7" t="s">
        <v>3</v>
      </c>
      <c r="B5" s="8">
        <v>8</v>
      </c>
      <c r="C5" s="5"/>
      <c r="D5" s="5"/>
      <c r="E5" s="7" t="s">
        <v>10</v>
      </c>
      <c r="F5" s="9">
        <v>0.75</v>
      </c>
      <c r="G5" s="5"/>
      <c r="H5" s="5" t="s">
        <v>43</v>
      </c>
      <c r="I5" s="10">
        <v>2</v>
      </c>
      <c r="J5" s="5"/>
      <c r="K5" s="5"/>
      <c r="L5" s="5"/>
      <c r="M5" s="5"/>
      <c r="N5" s="5"/>
      <c r="O5" s="5"/>
      <c r="P5" s="5"/>
      <c r="Q5" s="5"/>
      <c r="R5" s="5"/>
    </row>
    <row r="6" spans="1:20" ht="24.6" x14ac:dyDescent="0.3">
      <c r="A6" s="7" t="s">
        <v>4</v>
      </c>
      <c r="B6" s="8">
        <v>7</v>
      </c>
      <c r="C6" s="5"/>
      <c r="D6" s="5"/>
      <c r="E6" s="7" t="s">
        <v>11</v>
      </c>
      <c r="F6" s="9">
        <v>0.4</v>
      </c>
      <c r="G6" s="5"/>
      <c r="H6" s="5" t="s">
        <v>44</v>
      </c>
      <c r="I6" s="10">
        <v>1.5</v>
      </c>
      <c r="J6" s="5"/>
      <c r="K6" s="5"/>
      <c r="L6" s="5"/>
      <c r="M6" s="5"/>
      <c r="N6" s="5"/>
      <c r="O6" s="5"/>
      <c r="P6" s="5"/>
      <c r="Q6" s="5"/>
      <c r="R6" s="5"/>
    </row>
    <row r="7" spans="1:20" ht="24.6" x14ac:dyDescent="0.3">
      <c r="A7" s="7" t="s">
        <v>5</v>
      </c>
      <c r="B7" s="8">
        <v>16</v>
      </c>
      <c r="C7" s="5"/>
      <c r="D7" s="5"/>
      <c r="E7" s="7" t="s">
        <v>12</v>
      </c>
      <c r="F7" s="9">
        <v>0.85</v>
      </c>
      <c r="G7" s="5"/>
      <c r="H7" s="5" t="s">
        <v>45</v>
      </c>
      <c r="I7" s="10">
        <v>1.5</v>
      </c>
      <c r="J7" s="5"/>
      <c r="K7" s="5"/>
      <c r="L7" s="5"/>
      <c r="M7" s="5"/>
      <c r="N7" s="5"/>
      <c r="O7" s="5"/>
      <c r="P7" s="5"/>
      <c r="Q7" s="5"/>
      <c r="R7" s="5"/>
    </row>
    <row r="8" spans="1:20" ht="24.6" x14ac:dyDescent="0.3">
      <c r="A8" s="7" t="s">
        <v>6</v>
      </c>
      <c r="B8" s="9">
        <v>0.6</v>
      </c>
      <c r="C8" s="5"/>
      <c r="D8" s="5"/>
      <c r="E8" s="7" t="s">
        <v>13</v>
      </c>
      <c r="F8" s="9">
        <v>0.5</v>
      </c>
      <c r="G8" s="5"/>
      <c r="H8" s="5" t="s">
        <v>46</v>
      </c>
      <c r="I8" s="10">
        <v>1.2</v>
      </c>
      <c r="J8" s="5"/>
      <c r="K8" s="5"/>
      <c r="L8" s="5"/>
      <c r="M8" s="5"/>
      <c r="N8" s="5"/>
      <c r="O8" s="5"/>
      <c r="P8" s="5"/>
      <c r="Q8" s="5"/>
      <c r="R8" s="5"/>
    </row>
    <row r="9" spans="1:20" x14ac:dyDescent="0.3">
      <c r="A9" s="7" t="s">
        <v>7</v>
      </c>
      <c r="B9" s="9">
        <v>0.2857142857142857</v>
      </c>
      <c r="C9" s="5"/>
      <c r="D9" s="5"/>
      <c r="E9" s="7"/>
      <c r="F9" s="5"/>
      <c r="G9" s="5"/>
      <c r="H9" s="5" t="s">
        <v>47</v>
      </c>
      <c r="I9" s="10">
        <v>1</v>
      </c>
      <c r="J9" s="5"/>
      <c r="K9" s="5"/>
      <c r="L9" s="5"/>
      <c r="M9" s="5"/>
      <c r="N9" s="5"/>
      <c r="O9" s="5"/>
      <c r="P9" s="5"/>
      <c r="Q9" s="5"/>
      <c r="R9" s="5"/>
    </row>
    <row r="10" spans="1:20" ht="36.6" x14ac:dyDescent="0.3">
      <c r="A10" s="7" t="s">
        <v>8</v>
      </c>
      <c r="B10" s="9">
        <v>0.25</v>
      </c>
      <c r="C10" s="5"/>
      <c r="D10" s="5"/>
      <c r="E10" s="7"/>
      <c r="F10" s="5"/>
      <c r="G10" s="5"/>
      <c r="H10" s="5" t="s">
        <v>48</v>
      </c>
      <c r="I10" s="10">
        <v>1</v>
      </c>
      <c r="J10" s="5"/>
      <c r="K10" s="5"/>
      <c r="L10" s="5"/>
      <c r="M10" s="5"/>
      <c r="N10" s="5"/>
      <c r="O10" s="5"/>
      <c r="P10" s="5"/>
      <c r="Q10" s="5"/>
      <c r="R10" s="5"/>
    </row>
    <row r="11" spans="1:20" ht="24.6" x14ac:dyDescent="0.3">
      <c r="A11" s="4" t="s">
        <v>14</v>
      </c>
      <c r="B11" s="5"/>
      <c r="C11" s="5"/>
      <c r="D11" s="5"/>
      <c r="E11" s="4" t="s">
        <v>21</v>
      </c>
      <c r="F11" s="5"/>
      <c r="G11" s="5"/>
      <c r="H11" s="5" t="s">
        <v>49</v>
      </c>
      <c r="I11" s="10">
        <v>1</v>
      </c>
      <c r="J11" s="5"/>
      <c r="K11" s="5"/>
      <c r="L11" s="5"/>
      <c r="M11" s="5"/>
      <c r="N11" s="5"/>
      <c r="O11" s="5"/>
      <c r="P11" s="5"/>
      <c r="Q11" s="5"/>
      <c r="R11" s="5"/>
    </row>
    <row r="12" spans="1:20" ht="24.6" x14ac:dyDescent="0.3">
      <c r="A12" s="7" t="s">
        <v>15</v>
      </c>
      <c r="B12" s="11">
        <v>40</v>
      </c>
      <c r="C12" s="5"/>
      <c r="D12" s="5"/>
      <c r="E12" s="7" t="s">
        <v>22</v>
      </c>
      <c r="F12" s="9">
        <v>0.05</v>
      </c>
      <c r="G12" s="5"/>
      <c r="H12" s="5" t="s">
        <v>50</v>
      </c>
      <c r="I12" s="10">
        <v>1</v>
      </c>
      <c r="J12" s="5"/>
      <c r="K12" s="5"/>
      <c r="L12" s="5"/>
      <c r="M12" s="5"/>
      <c r="N12" s="5"/>
      <c r="O12" s="5"/>
      <c r="P12" s="5"/>
      <c r="Q12" s="5"/>
      <c r="R12" s="5"/>
    </row>
    <row r="13" spans="1:20" ht="24.6" x14ac:dyDescent="0.3">
      <c r="A13" s="7" t="s">
        <v>16</v>
      </c>
      <c r="B13" s="11">
        <v>30</v>
      </c>
      <c r="C13" s="5"/>
      <c r="D13" s="5"/>
      <c r="E13" s="7" t="s">
        <v>23</v>
      </c>
      <c r="F13" s="9">
        <v>0.7</v>
      </c>
      <c r="G13" s="5"/>
      <c r="H13" s="5" t="s">
        <v>51</v>
      </c>
      <c r="I13" s="10">
        <v>1.2</v>
      </c>
      <c r="J13" s="5"/>
      <c r="K13" s="5"/>
      <c r="L13" s="5"/>
      <c r="M13" s="5"/>
      <c r="N13" s="5"/>
      <c r="O13" s="5"/>
      <c r="P13" s="5"/>
      <c r="Q13" s="5"/>
      <c r="R13" s="5"/>
    </row>
    <row r="14" spans="1:20" ht="24.6" x14ac:dyDescent="0.3">
      <c r="A14" s="7" t="s">
        <v>17</v>
      </c>
      <c r="B14" s="9">
        <v>0.25</v>
      </c>
      <c r="C14" s="5"/>
      <c r="D14" s="5"/>
      <c r="E14" s="7" t="s">
        <v>24</v>
      </c>
      <c r="F14" s="9">
        <v>0.05</v>
      </c>
      <c r="G14" s="5"/>
      <c r="H14" s="5" t="s">
        <v>52</v>
      </c>
      <c r="I14" s="10">
        <v>1.5</v>
      </c>
      <c r="J14" s="5"/>
      <c r="K14" s="5"/>
      <c r="L14" s="5"/>
      <c r="M14" s="5"/>
      <c r="N14" s="5"/>
      <c r="O14" s="5"/>
      <c r="P14" s="5"/>
      <c r="Q14" s="5"/>
      <c r="R14" s="5"/>
    </row>
    <row r="15" spans="1:20" ht="24.6" x14ac:dyDescent="0.3">
      <c r="A15" s="7" t="s">
        <v>18</v>
      </c>
      <c r="B15" s="11">
        <v>5</v>
      </c>
      <c r="C15" s="5"/>
      <c r="D15" s="5"/>
      <c r="E15" s="3"/>
      <c r="G15" s="5"/>
      <c r="H15" s="5" t="s">
        <v>53</v>
      </c>
      <c r="I15" s="10">
        <v>1.5</v>
      </c>
      <c r="J15" s="5"/>
      <c r="K15" s="5"/>
      <c r="L15" s="5"/>
      <c r="M15" s="5"/>
      <c r="N15" s="5"/>
      <c r="O15" s="5"/>
      <c r="P15" s="5"/>
      <c r="Q15" s="5"/>
      <c r="R15" s="5"/>
    </row>
    <row r="16" spans="1:20" ht="24.6" x14ac:dyDescent="0.3">
      <c r="A16" s="7" t="s">
        <v>19</v>
      </c>
      <c r="B16" s="11">
        <v>8</v>
      </c>
      <c r="C16" s="5"/>
      <c r="D16" s="5"/>
      <c r="E16" s="7"/>
      <c r="F16" s="5"/>
      <c r="G16" s="5"/>
      <c r="H16" s="5" t="s">
        <v>54</v>
      </c>
      <c r="I16" s="10">
        <v>2</v>
      </c>
      <c r="J16" s="5"/>
      <c r="K16" s="5"/>
      <c r="L16" s="5"/>
      <c r="M16" s="5"/>
      <c r="N16" s="16"/>
      <c r="O16" s="16"/>
      <c r="P16" s="16"/>
      <c r="Q16" s="16"/>
      <c r="R16" s="16"/>
      <c r="S16" s="16"/>
      <c r="T16" s="16"/>
    </row>
    <row r="17" spans="1:18" ht="24.6" x14ac:dyDescent="0.3">
      <c r="A17" s="7" t="s">
        <v>20</v>
      </c>
      <c r="B17" s="8">
        <v>60</v>
      </c>
      <c r="C17" s="5"/>
      <c r="D17" s="5"/>
      <c r="E17" s="7"/>
      <c r="F17" s="5"/>
      <c r="G17" s="5"/>
      <c r="H17" s="12" t="s">
        <v>55</v>
      </c>
      <c r="I17" s="5"/>
      <c r="J17" s="5"/>
      <c r="K17" s="5"/>
      <c r="L17" s="5"/>
      <c r="M17" s="5"/>
      <c r="N17" s="5"/>
      <c r="O17" s="5"/>
      <c r="P17" s="5"/>
      <c r="Q17" s="5"/>
      <c r="R17" s="5"/>
    </row>
    <row r="18" spans="1:18" x14ac:dyDescent="0.3">
      <c r="C18" s="5"/>
      <c r="D18" s="5"/>
      <c r="E18" s="7"/>
      <c r="F18" s="5"/>
      <c r="G18" s="5"/>
      <c r="H18" s="15"/>
      <c r="I18" s="15"/>
      <c r="J18" s="15"/>
      <c r="K18" s="15"/>
      <c r="L18" s="15"/>
      <c r="M18" s="15"/>
      <c r="N18" s="15"/>
      <c r="O18" s="15"/>
      <c r="P18" s="15"/>
      <c r="Q18" s="15"/>
      <c r="R18" s="15"/>
    </row>
    <row r="19" spans="1:18" ht="36.6" x14ac:dyDescent="0.3">
      <c r="A19" s="4" t="s">
        <v>25</v>
      </c>
      <c r="B19" s="5"/>
      <c r="C19" s="5"/>
      <c r="D19" s="5"/>
      <c r="E19" s="4" t="s">
        <v>34</v>
      </c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</row>
    <row r="20" spans="1:18" ht="24.6" x14ac:dyDescent="0.3">
      <c r="A20" s="7" t="s">
        <v>26</v>
      </c>
      <c r="B20" s="8">
        <v>100</v>
      </c>
      <c r="C20" s="5"/>
      <c r="D20" s="5"/>
      <c r="E20" s="7" t="s">
        <v>35</v>
      </c>
      <c r="F20" s="9">
        <v>0.5</v>
      </c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</row>
    <row r="21" spans="1:18" ht="24.6" x14ac:dyDescent="0.3">
      <c r="A21" s="7" t="s">
        <v>27</v>
      </c>
      <c r="B21" s="9">
        <v>0.05</v>
      </c>
      <c r="C21" s="5"/>
      <c r="D21" s="5"/>
      <c r="E21" s="7" t="s">
        <v>36</v>
      </c>
      <c r="F21" s="9">
        <v>0.4</v>
      </c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</row>
    <row r="22" spans="1:18" ht="24.6" x14ac:dyDescent="0.3">
      <c r="A22" s="7" t="s">
        <v>28</v>
      </c>
      <c r="B22" s="8">
        <v>1000</v>
      </c>
      <c r="C22" s="5"/>
      <c r="D22" s="5"/>
      <c r="E22" s="7" t="s">
        <v>37</v>
      </c>
      <c r="F22" s="9">
        <v>0.5</v>
      </c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</row>
    <row r="23" spans="1:18" ht="24.6" x14ac:dyDescent="0.3">
      <c r="A23" s="7" t="s">
        <v>29</v>
      </c>
      <c r="B23" s="9">
        <v>0.5</v>
      </c>
      <c r="C23" s="5"/>
      <c r="D23" s="5"/>
      <c r="E23" s="7" t="s">
        <v>38</v>
      </c>
      <c r="F23" s="9">
        <v>0.4</v>
      </c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</row>
    <row r="24" spans="1:18" ht="36.6" x14ac:dyDescent="0.3">
      <c r="A24" s="7" t="s">
        <v>30</v>
      </c>
      <c r="B24" s="10">
        <v>2</v>
      </c>
      <c r="C24" s="5"/>
      <c r="D24" s="5"/>
      <c r="E24" s="7" t="s">
        <v>39</v>
      </c>
      <c r="F24" s="9">
        <v>0.1</v>
      </c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</row>
    <row r="25" spans="1:18" ht="24.6" x14ac:dyDescent="0.3">
      <c r="A25" s="7" t="s">
        <v>31</v>
      </c>
      <c r="B25" s="8">
        <v>60</v>
      </c>
      <c r="C25" s="5"/>
      <c r="D25" s="5"/>
      <c r="E25" s="7" t="s">
        <v>40</v>
      </c>
      <c r="F25" s="9">
        <v>1</v>
      </c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</row>
    <row r="26" spans="1:18" ht="24.6" x14ac:dyDescent="0.3">
      <c r="A26" s="7" t="s">
        <v>32</v>
      </c>
      <c r="B26" s="10">
        <v>12</v>
      </c>
      <c r="C26" s="5"/>
      <c r="D26" s="5"/>
      <c r="E26" s="3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</row>
    <row r="27" spans="1:18" ht="24.6" x14ac:dyDescent="0.3">
      <c r="A27" s="7" t="s">
        <v>33</v>
      </c>
      <c r="B27" s="8">
        <v>6</v>
      </c>
      <c r="C27" s="5"/>
      <c r="D27" s="5"/>
      <c r="E27" s="7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</row>
    <row r="28" spans="1:18" x14ac:dyDescent="0.3">
      <c r="C28" s="5"/>
      <c r="D28" s="5"/>
      <c r="E28" s="7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</row>
    <row r="29" spans="1:18" x14ac:dyDescent="0.3">
      <c r="A29" s="4" t="s">
        <v>56</v>
      </c>
      <c r="B29" s="5"/>
      <c r="C29" s="5"/>
      <c r="D29" s="5"/>
      <c r="E29" s="4" t="s">
        <v>61</v>
      </c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</row>
    <row r="30" spans="1:18" ht="24.6" x14ac:dyDescent="0.3">
      <c r="A30" s="7" t="s">
        <v>57</v>
      </c>
      <c r="B30" s="8">
        <f>B7*B5*4.33*B6</f>
        <v>3879.6800000000003</v>
      </c>
      <c r="C30" s="5"/>
      <c r="D30" s="5"/>
      <c r="E30" s="7" t="s">
        <v>62</v>
      </c>
      <c r="F30" s="9">
        <f>(1-B8)*F5 + B8*F7</f>
        <v>0.81</v>
      </c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</row>
    <row r="31" spans="1:18" ht="24.6" x14ac:dyDescent="0.3">
      <c r="A31" s="7" t="s">
        <v>58</v>
      </c>
      <c r="B31" s="8">
        <f>B30*B8</f>
        <v>2327.808</v>
      </c>
      <c r="C31" s="5"/>
      <c r="D31" s="5"/>
      <c r="E31" s="7" t="s">
        <v>63</v>
      </c>
      <c r="F31" s="9">
        <f>(1-B8)*F6 + B8*F8</f>
        <v>0.46</v>
      </c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</row>
    <row r="32" spans="1:18" x14ac:dyDescent="0.3">
      <c r="A32" s="7" t="s">
        <v>59</v>
      </c>
      <c r="B32" s="8">
        <f>B30*(1-B8)</f>
        <v>1551.8720000000003</v>
      </c>
      <c r="C32" s="5"/>
      <c r="D32" s="5"/>
      <c r="E32" s="7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</row>
    <row r="33" spans="1:18" ht="24.6" x14ac:dyDescent="0.3">
      <c r="A33" s="7" t="s">
        <v>60</v>
      </c>
      <c r="B33" s="9">
        <f>(1-B10)</f>
        <v>0.75</v>
      </c>
      <c r="C33" s="5"/>
      <c r="D33" s="5"/>
      <c r="E33" s="4" t="s">
        <v>64</v>
      </c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</row>
    <row r="34" spans="1:18" ht="24.6" x14ac:dyDescent="0.3">
      <c r="A34" s="7"/>
      <c r="B34" s="5"/>
      <c r="C34" s="5"/>
      <c r="D34" s="5"/>
      <c r="E34" s="7" t="s">
        <v>65</v>
      </c>
      <c r="F34" s="9">
        <f>(1-B8)*F20 + B8*F22</f>
        <v>0.5</v>
      </c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</row>
    <row r="35" spans="1:18" ht="24.6" x14ac:dyDescent="0.3">
      <c r="A35" s="7"/>
      <c r="B35" s="5"/>
      <c r="C35" s="5"/>
      <c r="D35" s="5"/>
      <c r="E35" s="7" t="s">
        <v>66</v>
      </c>
      <c r="F35" s="9">
        <f>(1-B8)*F21 + B8*F23</f>
        <v>0.4</v>
      </c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</row>
    <row r="36" spans="1:18" x14ac:dyDescent="0.3">
      <c r="A36" s="7"/>
      <c r="B36" s="5"/>
      <c r="C36" s="5"/>
      <c r="D36" s="5"/>
      <c r="E36" s="7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</row>
    <row r="37" spans="1:18" ht="24.6" x14ac:dyDescent="0.3">
      <c r="A37" s="7"/>
      <c r="B37" s="5"/>
      <c r="C37" s="5"/>
      <c r="D37" s="5"/>
      <c r="E37" s="4" t="s">
        <v>67</v>
      </c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</row>
    <row r="38" spans="1:18" ht="24.6" x14ac:dyDescent="0.3">
      <c r="A38" s="7"/>
      <c r="B38" s="5"/>
      <c r="C38" s="5"/>
      <c r="D38" s="5"/>
      <c r="E38" s="7" t="s">
        <v>68</v>
      </c>
      <c r="F38" s="8">
        <f>(B31*F30 + B32*F31)*B10</f>
        <v>649.84640000000002</v>
      </c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</row>
    <row r="39" spans="1:18" ht="24.6" x14ac:dyDescent="0.3">
      <c r="A39" s="7" t="s">
        <v>72</v>
      </c>
      <c r="B39" s="10">
        <f>B25/60</f>
        <v>1</v>
      </c>
      <c r="C39" s="5"/>
      <c r="D39" s="5"/>
      <c r="E39" s="7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</row>
    <row r="40" spans="1:18" ht="24.6" x14ac:dyDescent="0.3">
      <c r="A40" s="7" t="s">
        <v>73</v>
      </c>
      <c r="B40" s="10">
        <f>B17/60</f>
        <v>1</v>
      </c>
      <c r="C40" s="5"/>
      <c r="D40" s="5"/>
      <c r="E40" s="4" t="s">
        <v>69</v>
      </c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</row>
    <row r="41" spans="1:18" ht="24.6" x14ac:dyDescent="0.3">
      <c r="A41" s="7"/>
      <c r="B41" s="5"/>
      <c r="C41" s="5"/>
      <c r="D41" s="5"/>
      <c r="E41" s="7" t="s">
        <v>70</v>
      </c>
      <c r="F41" s="11">
        <f>(B12*B31 + B13*B32)/(B31+B32)</f>
        <v>36</v>
      </c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</row>
    <row r="42" spans="1:18" ht="24.6" x14ac:dyDescent="0.3">
      <c r="A42" s="7"/>
      <c r="B42" s="5"/>
      <c r="C42" s="5"/>
      <c r="D42" s="5"/>
      <c r="E42" s="7" t="s">
        <v>71</v>
      </c>
      <c r="F42" s="11">
        <f>F41*(1-B14)</f>
        <v>27</v>
      </c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</row>
    <row r="43" spans="1:18" x14ac:dyDescent="0.3">
      <c r="A43" s="3"/>
      <c r="E43" s="3"/>
    </row>
    <row r="44" spans="1:18" ht="36.6" x14ac:dyDescent="0.3">
      <c r="A44" s="13" t="s">
        <v>42</v>
      </c>
      <c r="B44" s="13" t="s">
        <v>74</v>
      </c>
      <c r="C44" s="13" t="s">
        <v>75</v>
      </c>
      <c r="D44" s="13" t="s">
        <v>76</v>
      </c>
      <c r="E44" s="13" t="s">
        <v>77</v>
      </c>
      <c r="F44" s="13" t="s">
        <v>78</v>
      </c>
      <c r="G44" s="13" t="s">
        <v>79</v>
      </c>
      <c r="H44" s="13" t="s">
        <v>80</v>
      </c>
      <c r="I44" s="13" t="s">
        <v>81</v>
      </c>
      <c r="J44" s="13" t="s">
        <v>82</v>
      </c>
      <c r="K44" s="13" t="s">
        <v>83</v>
      </c>
      <c r="L44" s="13" t="s">
        <v>84</v>
      </c>
      <c r="M44" s="13" t="s">
        <v>85</v>
      </c>
      <c r="N44" s="13" t="s">
        <v>86</v>
      </c>
      <c r="O44" s="13" t="s">
        <v>87</v>
      </c>
      <c r="P44" s="13" t="s">
        <v>88</v>
      </c>
      <c r="Q44" s="13" t="s">
        <v>89</v>
      </c>
      <c r="R44" s="13" t="s">
        <v>90</v>
      </c>
    </row>
    <row r="45" spans="1:18" x14ac:dyDescent="0.3">
      <c r="A45" s="12" t="s">
        <v>43</v>
      </c>
      <c r="B45" s="10">
        <f>INDEX($I$5:$I$16, 1+MOD(1-1,12))</f>
        <v>2</v>
      </c>
      <c r="C45" s="8">
        <f>MIN(B20,$B$22)</f>
        <v>100</v>
      </c>
      <c r="D45" s="10">
        <f>C45*$B$23*$B$24*$B$39*B45</f>
        <v>200</v>
      </c>
      <c r="E45" s="10">
        <f>MIN(D45, $F$38)</f>
        <v>200</v>
      </c>
      <c r="F45" s="10">
        <f>(($B$31*$F$34*$B$10) + ($B$32*$F$35*$B$10))*(1+$F$24)*B45</f>
        <v>981.55904000000021</v>
      </c>
      <c r="G45" s="10">
        <f>MIN(F45, MAX($F$38-E45,0), $F$25*$F$38)</f>
        <v>449.84640000000002</v>
      </c>
      <c r="H45" s="11">
        <f>IFERROR(($F$42*E45 + $F$41*G45)/(E45+G45),0)</f>
        <v>33.230114685562619</v>
      </c>
      <c r="I45" s="11">
        <f>(E45+G45)*H45</f>
        <v>21594.470400000002</v>
      </c>
      <c r="J45" s="11">
        <f>H45*(E45+G45)*$F$12</f>
        <v>1079.7235200000002</v>
      </c>
      <c r="K45" s="10">
        <f>C45*$B$26*$B$40*B45</f>
        <v>2400</v>
      </c>
      <c r="L45" s="10">
        <f>MIN(K45, $B$30*(1-$B$10))</f>
        <v>2400</v>
      </c>
      <c r="M45" s="8">
        <f>IFERROR(L45/$B$40,0)</f>
        <v>2400</v>
      </c>
      <c r="N45" s="11">
        <f>M45*$B$15</f>
        <v>12000</v>
      </c>
      <c r="O45" s="10">
        <f>MAX($B$30*(1-$B$10)-L45,0)</f>
        <v>509.76000000000022</v>
      </c>
      <c r="P45" s="8">
        <f>IFERROR(O45/$B$40,0)</f>
        <v>509.76000000000022</v>
      </c>
      <c r="Q45" s="11">
        <f>P45*$B$16</f>
        <v>4078.0800000000017</v>
      </c>
      <c r="R45" s="11">
        <f t="shared" ref="R45:R80" si="0">I45+J45+N45+Q45</f>
        <v>38752.273920000007</v>
      </c>
    </row>
    <row r="46" spans="1:18" x14ac:dyDescent="0.3">
      <c r="A46" s="12" t="s">
        <v>44</v>
      </c>
      <c r="B46" s="10">
        <f>INDEX($I$5:$I$16, 1+MOD(2-1,12))</f>
        <v>1.5</v>
      </c>
      <c r="C46" s="8">
        <f>MIN(C45*(1+$B$21), $B$22)</f>
        <v>105</v>
      </c>
      <c r="D46" s="10">
        <f t="shared" ref="D46:D80" si="1">C46*$B$23*$B$24*$B$39*B46</f>
        <v>157.5</v>
      </c>
      <c r="E46" s="10">
        <f t="shared" ref="E46:E80" si="2">MIN(D46, $F$38)</f>
        <v>157.5</v>
      </c>
      <c r="F46" s="10">
        <f t="shared" ref="F46:F79" si="3">(($B$31*$F$34*$B$10) + ($B$32*$F$35*$B$10))*(1+$F$24)*B46</f>
        <v>736.16928000000019</v>
      </c>
      <c r="G46" s="10">
        <f>MIN(F46, MAX(F38-E46,0), F24*F38)</f>
        <v>64.984639999999999</v>
      </c>
      <c r="H46" s="11">
        <f t="shared" ref="H46:H80" si="4">IFERROR(($F$42*E46 + $F$41*G46)/(E46+G46),0)</f>
        <v>29.628773653767738</v>
      </c>
      <c r="I46" s="11">
        <f t="shared" ref="I46:I80" si="5">(E46+G46)*H46</f>
        <v>6591.94704</v>
      </c>
      <c r="J46" s="11">
        <f t="shared" ref="J46:J79" si="6">H46*(E46+G46)*$F$12</f>
        <v>329.597352</v>
      </c>
      <c r="K46" s="10">
        <f>C46*$B$26*$B$40*B46</f>
        <v>1890</v>
      </c>
      <c r="L46" s="10">
        <f t="shared" ref="L46:L80" si="7">MIN(K46, $B$30*(1-$B$10))</f>
        <v>1890</v>
      </c>
      <c r="M46" s="8">
        <f t="shared" ref="M46:M80" si="8">IFERROR(L46/$B$40,0)</f>
        <v>1890</v>
      </c>
      <c r="N46" s="11">
        <f t="shared" ref="N46:N80" si="9">M46*$B$15</f>
        <v>9450</v>
      </c>
      <c r="O46" s="10">
        <f t="shared" ref="O46:O80" si="10">MAX($B$30*(1-$B$10)-L46,0)</f>
        <v>1019.7600000000002</v>
      </c>
      <c r="P46" s="8">
        <f t="shared" ref="P46:P80" si="11">IFERROR(O46/$B$40,0)</f>
        <v>1019.7600000000002</v>
      </c>
      <c r="Q46" s="11">
        <f t="shared" ref="Q46:Q80" si="12">P46*$B$16</f>
        <v>8158.0800000000017</v>
      </c>
      <c r="R46" s="11">
        <f t="shared" si="0"/>
        <v>24529.624392000002</v>
      </c>
    </row>
    <row r="47" spans="1:18" x14ac:dyDescent="0.3">
      <c r="A47" s="12" t="s">
        <v>45</v>
      </c>
      <c r="B47" s="10">
        <f>INDEX($I$5:$I$16, 1+MOD(3-1,12))</f>
        <v>1.5</v>
      </c>
      <c r="C47" s="8">
        <f t="shared" ref="C47:C80" si="13">MIN(C46*(1+$B$21), $B$22)</f>
        <v>110.25</v>
      </c>
      <c r="D47" s="10">
        <f t="shared" si="1"/>
        <v>165.375</v>
      </c>
      <c r="E47" s="10">
        <f t="shared" si="2"/>
        <v>165.375</v>
      </c>
      <c r="F47" s="10">
        <f t="shared" si="3"/>
        <v>736.16928000000019</v>
      </c>
      <c r="G47" s="10">
        <f>MIN(F47, MAX(F38-E47,0), F24*F38)</f>
        <v>64.984639999999999</v>
      </c>
      <c r="H47" s="11">
        <f t="shared" si="4"/>
        <v>29.53890724955118</v>
      </c>
      <c r="I47" s="11">
        <f t="shared" si="5"/>
        <v>6804.57204</v>
      </c>
      <c r="J47" s="11">
        <f t="shared" si="6"/>
        <v>340.22860200000002</v>
      </c>
      <c r="K47" s="10">
        <f>C47*B25*B40*B47</f>
        <v>9922.5</v>
      </c>
      <c r="L47" s="10">
        <f t="shared" si="7"/>
        <v>2909.76</v>
      </c>
      <c r="M47" s="8">
        <f t="shared" si="8"/>
        <v>2909.76</v>
      </c>
      <c r="N47" s="11">
        <f t="shared" si="9"/>
        <v>14548.800000000001</v>
      </c>
      <c r="O47" s="10">
        <f t="shared" si="10"/>
        <v>0</v>
      </c>
      <c r="P47" s="8">
        <f t="shared" si="11"/>
        <v>0</v>
      </c>
      <c r="Q47" s="11">
        <f t="shared" si="12"/>
        <v>0</v>
      </c>
      <c r="R47" s="11">
        <f t="shared" si="0"/>
        <v>21693.600642000001</v>
      </c>
    </row>
    <row r="48" spans="1:18" x14ac:dyDescent="0.3">
      <c r="A48" s="12" t="s">
        <v>46</v>
      </c>
      <c r="B48" s="10">
        <f>INDEX($I$5:$I$16, 1+MOD(4-1,12))</f>
        <v>1.2</v>
      </c>
      <c r="C48" s="8">
        <f t="shared" si="13"/>
        <v>115.7625</v>
      </c>
      <c r="D48" s="10">
        <f t="shared" si="1"/>
        <v>138.91499999999999</v>
      </c>
      <c r="E48" s="10">
        <f t="shared" si="2"/>
        <v>138.91499999999999</v>
      </c>
      <c r="F48" s="10">
        <f t="shared" si="3"/>
        <v>588.93542400000013</v>
      </c>
      <c r="G48" s="10">
        <f>MIN(F48, MAX(F38-E48,0), F24*F38)</f>
        <v>64.984639999999999</v>
      </c>
      <c r="H48" s="11">
        <f t="shared" si="4"/>
        <v>29.86838054250611</v>
      </c>
      <c r="I48" s="11">
        <f t="shared" si="5"/>
        <v>6090.1520399999999</v>
      </c>
      <c r="J48" s="11">
        <f t="shared" si="6"/>
        <v>304.50760200000002</v>
      </c>
      <c r="K48" s="10">
        <f>C48*B25*B40*B48</f>
        <v>8334.9</v>
      </c>
      <c r="L48" s="10">
        <f t="shared" si="7"/>
        <v>2909.76</v>
      </c>
      <c r="M48" s="8">
        <f t="shared" si="8"/>
        <v>2909.76</v>
      </c>
      <c r="N48" s="11">
        <f t="shared" si="9"/>
        <v>14548.800000000001</v>
      </c>
      <c r="O48" s="10">
        <f t="shared" si="10"/>
        <v>0</v>
      </c>
      <c r="P48" s="8">
        <f t="shared" si="11"/>
        <v>0</v>
      </c>
      <c r="Q48" s="11">
        <f t="shared" si="12"/>
        <v>0</v>
      </c>
      <c r="R48" s="11">
        <f t="shared" si="0"/>
        <v>20943.459642000002</v>
      </c>
    </row>
    <row r="49" spans="1:18" x14ac:dyDescent="0.3">
      <c r="A49" s="12" t="s">
        <v>47</v>
      </c>
      <c r="B49" s="10">
        <f>INDEX($I$5:$I$16, 1+MOD(5-1,12))</f>
        <v>1</v>
      </c>
      <c r="C49" s="8">
        <f t="shared" si="13"/>
        <v>121.55062500000001</v>
      </c>
      <c r="D49" s="10">
        <f t="shared" si="1"/>
        <v>121.55062500000001</v>
      </c>
      <c r="E49" s="10">
        <f t="shared" si="2"/>
        <v>121.55062500000001</v>
      </c>
      <c r="F49" s="10">
        <f t="shared" si="3"/>
        <v>490.7795200000001</v>
      </c>
      <c r="G49" s="10">
        <f>MIN(F49, MAX(F38-E49,0), F24*F38)</f>
        <v>64.984639999999999</v>
      </c>
      <c r="H49" s="11">
        <f t="shared" si="4"/>
        <v>30.135395122203839</v>
      </c>
      <c r="I49" s="11">
        <f t="shared" si="5"/>
        <v>5621.3139150000006</v>
      </c>
      <c r="J49" s="11">
        <f t="shared" si="6"/>
        <v>281.06569575000003</v>
      </c>
      <c r="K49" s="10">
        <f>C49*B25*B40*B49</f>
        <v>7293.0375000000004</v>
      </c>
      <c r="L49" s="10">
        <f t="shared" si="7"/>
        <v>2909.76</v>
      </c>
      <c r="M49" s="8">
        <f t="shared" si="8"/>
        <v>2909.76</v>
      </c>
      <c r="N49" s="11">
        <f t="shared" si="9"/>
        <v>14548.800000000001</v>
      </c>
      <c r="O49" s="10">
        <f t="shared" si="10"/>
        <v>0</v>
      </c>
      <c r="P49" s="8">
        <f t="shared" si="11"/>
        <v>0</v>
      </c>
      <c r="Q49" s="11">
        <f t="shared" si="12"/>
        <v>0</v>
      </c>
      <c r="R49" s="11">
        <f t="shared" si="0"/>
        <v>20451.179610750001</v>
      </c>
    </row>
    <row r="50" spans="1:18" x14ac:dyDescent="0.3">
      <c r="A50" s="12" t="s">
        <v>48</v>
      </c>
      <c r="B50" s="10">
        <f>INDEX($I$5:$I$16, 1+MOD(6-1,12))</f>
        <v>1</v>
      </c>
      <c r="C50" s="8">
        <f t="shared" si="13"/>
        <v>127.62815625000002</v>
      </c>
      <c r="D50" s="10">
        <f t="shared" si="1"/>
        <v>127.62815625000002</v>
      </c>
      <c r="E50" s="10">
        <f t="shared" si="2"/>
        <v>127.62815625000002</v>
      </c>
      <c r="F50" s="10">
        <f t="shared" si="3"/>
        <v>490.7795200000001</v>
      </c>
      <c r="G50" s="10">
        <f>MIN(F50, MAX(F38-E50,0), F24*F38)</f>
        <v>64.984639999999999</v>
      </c>
      <c r="H50" s="11">
        <f t="shared" si="4"/>
        <v>30.036463679395858</v>
      </c>
      <c r="I50" s="11">
        <f t="shared" si="5"/>
        <v>5785.4072587500004</v>
      </c>
      <c r="J50" s="11">
        <f t="shared" si="6"/>
        <v>289.27036293750001</v>
      </c>
      <c r="K50" s="10">
        <f>C50*B25*B40*B50</f>
        <v>7657.6893750000008</v>
      </c>
      <c r="L50" s="10">
        <f t="shared" si="7"/>
        <v>2909.76</v>
      </c>
      <c r="M50" s="8">
        <f t="shared" si="8"/>
        <v>2909.76</v>
      </c>
      <c r="N50" s="11">
        <f t="shared" si="9"/>
        <v>14548.800000000001</v>
      </c>
      <c r="O50" s="10">
        <f t="shared" si="10"/>
        <v>0</v>
      </c>
      <c r="P50" s="8">
        <f t="shared" si="11"/>
        <v>0</v>
      </c>
      <c r="Q50" s="11">
        <f t="shared" si="12"/>
        <v>0</v>
      </c>
      <c r="R50" s="11">
        <f t="shared" si="0"/>
        <v>20623.477621687503</v>
      </c>
    </row>
    <row r="51" spans="1:18" x14ac:dyDescent="0.3">
      <c r="A51" s="12" t="s">
        <v>49</v>
      </c>
      <c r="B51" s="10">
        <f>INDEX($I$5:$I$16, 1+MOD(7-1,12))</f>
        <v>1</v>
      </c>
      <c r="C51" s="8">
        <f t="shared" si="13"/>
        <v>134.00956406250003</v>
      </c>
      <c r="D51" s="10">
        <f t="shared" si="1"/>
        <v>134.00956406250003</v>
      </c>
      <c r="E51" s="10">
        <f t="shared" si="2"/>
        <v>134.00956406250003</v>
      </c>
      <c r="F51" s="10">
        <f t="shared" si="3"/>
        <v>490.7795200000001</v>
      </c>
      <c r="G51" s="10">
        <f>MIN(F51, MAX(F38-E51,0), F24*F38)</f>
        <v>64.984639999999999</v>
      </c>
      <c r="H51" s="11">
        <f t="shared" si="4"/>
        <v>29.939089420997941</v>
      </c>
      <c r="I51" s="11">
        <f t="shared" si="5"/>
        <v>5957.7052696875007</v>
      </c>
      <c r="J51" s="11">
        <f t="shared" si="6"/>
        <v>297.88526348437506</v>
      </c>
      <c r="K51" s="10">
        <f>C51*B25*B40*B51</f>
        <v>8040.5738437500022</v>
      </c>
      <c r="L51" s="10">
        <f t="shared" si="7"/>
        <v>2909.76</v>
      </c>
      <c r="M51" s="8">
        <f t="shared" si="8"/>
        <v>2909.76</v>
      </c>
      <c r="N51" s="11">
        <f t="shared" si="9"/>
        <v>14548.800000000001</v>
      </c>
      <c r="O51" s="10">
        <f t="shared" si="10"/>
        <v>0</v>
      </c>
      <c r="P51" s="8">
        <f t="shared" si="11"/>
        <v>0</v>
      </c>
      <c r="Q51" s="11">
        <f t="shared" si="12"/>
        <v>0</v>
      </c>
      <c r="R51" s="11">
        <f t="shared" si="0"/>
        <v>20804.390533171878</v>
      </c>
    </row>
    <row r="52" spans="1:18" x14ac:dyDescent="0.3">
      <c r="A52" s="12" t="s">
        <v>50</v>
      </c>
      <c r="B52" s="10">
        <f>INDEX($I$5:$I$16, 1+MOD(8-1,12))</f>
        <v>1</v>
      </c>
      <c r="C52" s="8">
        <f t="shared" si="13"/>
        <v>140.71004226562505</v>
      </c>
      <c r="D52" s="10">
        <f t="shared" si="1"/>
        <v>140.71004226562505</v>
      </c>
      <c r="E52" s="10">
        <f t="shared" si="2"/>
        <v>140.71004226562505</v>
      </c>
      <c r="F52" s="10">
        <f t="shared" si="3"/>
        <v>490.7795200000001</v>
      </c>
      <c r="G52" s="10">
        <f>MIN(F52, MAX(F38-E52,0), F24*F38)</f>
        <v>64.984639999999999</v>
      </c>
      <c r="H52" s="11">
        <f t="shared" si="4"/>
        <v>29.84334895563676</v>
      </c>
      <c r="I52" s="11">
        <f t="shared" si="5"/>
        <v>6138.6181811718761</v>
      </c>
      <c r="J52" s="11">
        <f t="shared" si="6"/>
        <v>306.93090905859384</v>
      </c>
      <c r="K52" s="10">
        <f>C52*B25*B40*B52</f>
        <v>8442.6025359375035</v>
      </c>
      <c r="L52" s="10">
        <f t="shared" si="7"/>
        <v>2909.76</v>
      </c>
      <c r="M52" s="8">
        <f t="shared" si="8"/>
        <v>2909.76</v>
      </c>
      <c r="N52" s="11">
        <f t="shared" si="9"/>
        <v>14548.800000000001</v>
      </c>
      <c r="O52" s="10">
        <f t="shared" si="10"/>
        <v>0</v>
      </c>
      <c r="P52" s="8">
        <f t="shared" si="11"/>
        <v>0</v>
      </c>
      <c r="Q52" s="11">
        <f t="shared" si="12"/>
        <v>0</v>
      </c>
      <c r="R52" s="11">
        <f t="shared" si="0"/>
        <v>20994.349090230469</v>
      </c>
    </row>
    <row r="53" spans="1:18" x14ac:dyDescent="0.3">
      <c r="A53" s="12" t="s">
        <v>51</v>
      </c>
      <c r="B53" s="10">
        <f>INDEX($I$5:$I$16, 1+MOD(9-1,12))</f>
        <v>1.2</v>
      </c>
      <c r="C53" s="8">
        <f t="shared" si="13"/>
        <v>147.74554437890632</v>
      </c>
      <c r="D53" s="10">
        <f t="shared" si="1"/>
        <v>177.29465325468757</v>
      </c>
      <c r="E53" s="10">
        <f t="shared" si="2"/>
        <v>177.29465325468757</v>
      </c>
      <c r="F53" s="10">
        <f t="shared" si="3"/>
        <v>588.93542400000013</v>
      </c>
      <c r="G53" s="10">
        <f>MIN(F53, MAX(F38-E53,0), F24*F38)</f>
        <v>64.984639999999999</v>
      </c>
      <c r="H53" s="11">
        <f t="shared" si="4"/>
        <v>29.413998126472926</v>
      </c>
      <c r="I53" s="11">
        <f t="shared" si="5"/>
        <v>7126.4026778765647</v>
      </c>
      <c r="J53" s="11">
        <f t="shared" si="6"/>
        <v>356.32013389382826</v>
      </c>
      <c r="K53" s="10">
        <f>C53*B25*B40*B53</f>
        <v>10637.679195281255</v>
      </c>
      <c r="L53" s="10">
        <f t="shared" si="7"/>
        <v>2909.76</v>
      </c>
      <c r="M53" s="8">
        <f t="shared" si="8"/>
        <v>2909.76</v>
      </c>
      <c r="N53" s="11">
        <f t="shared" si="9"/>
        <v>14548.800000000001</v>
      </c>
      <c r="O53" s="10">
        <f t="shared" si="10"/>
        <v>0</v>
      </c>
      <c r="P53" s="8">
        <f t="shared" si="11"/>
        <v>0</v>
      </c>
      <c r="Q53" s="11">
        <f t="shared" si="12"/>
        <v>0</v>
      </c>
      <c r="R53" s="11">
        <f t="shared" si="0"/>
        <v>22031.522811770395</v>
      </c>
    </row>
    <row r="54" spans="1:18" x14ac:dyDescent="0.3">
      <c r="A54" s="12" t="s">
        <v>52</v>
      </c>
      <c r="B54" s="10">
        <f>INDEX($I$5:$I$16, 1+MOD(10-1,12))</f>
        <v>1.5</v>
      </c>
      <c r="C54" s="8">
        <f t="shared" si="13"/>
        <v>155.13282159785163</v>
      </c>
      <c r="D54" s="10">
        <f t="shared" si="1"/>
        <v>232.69923239677746</v>
      </c>
      <c r="E54" s="10">
        <f t="shared" si="2"/>
        <v>232.69923239677746</v>
      </c>
      <c r="F54" s="10">
        <f t="shared" si="3"/>
        <v>736.16928000000019</v>
      </c>
      <c r="G54" s="10">
        <f>MIN(F54, MAX(F38-E54,0), F24*F38)</f>
        <v>64.984639999999999</v>
      </c>
      <c r="H54" s="11">
        <f t="shared" si="4"/>
        <v>28.964707578180278</v>
      </c>
      <c r="I54" s="11">
        <f t="shared" si="5"/>
        <v>8622.326314712991</v>
      </c>
      <c r="J54" s="11">
        <f t="shared" si="6"/>
        <v>431.11631573564955</v>
      </c>
      <c r="K54" s="10">
        <f>C54*B25*B40*B54</f>
        <v>13961.953943806648</v>
      </c>
      <c r="L54" s="10">
        <f t="shared" si="7"/>
        <v>2909.76</v>
      </c>
      <c r="M54" s="8">
        <f t="shared" si="8"/>
        <v>2909.76</v>
      </c>
      <c r="N54" s="11">
        <f t="shared" si="9"/>
        <v>14548.800000000001</v>
      </c>
      <c r="O54" s="10">
        <f t="shared" si="10"/>
        <v>0</v>
      </c>
      <c r="P54" s="8">
        <f t="shared" si="11"/>
        <v>0</v>
      </c>
      <c r="Q54" s="11">
        <f t="shared" si="12"/>
        <v>0</v>
      </c>
      <c r="R54" s="11">
        <f t="shared" si="0"/>
        <v>23602.242630448643</v>
      </c>
    </row>
    <row r="55" spans="1:18" x14ac:dyDescent="0.3">
      <c r="A55" s="12" t="s">
        <v>53</v>
      </c>
      <c r="B55" s="10">
        <f>INDEX($I$5:$I$16, 1+MOD(11-1,12))</f>
        <v>1.5</v>
      </c>
      <c r="C55" s="8">
        <f t="shared" si="13"/>
        <v>162.88946267774421</v>
      </c>
      <c r="D55" s="10">
        <f t="shared" si="1"/>
        <v>244.33419401661632</v>
      </c>
      <c r="E55" s="10">
        <f t="shared" si="2"/>
        <v>244.33419401661632</v>
      </c>
      <c r="F55" s="10">
        <f t="shared" si="3"/>
        <v>736.16928000000019</v>
      </c>
      <c r="G55" s="10">
        <f>MIN(F55, MAX(F38-E55,0), F24*F38)</f>
        <v>64.984639999999999</v>
      </c>
      <c r="H55" s="11">
        <f t="shared" si="4"/>
        <v>28.890805523884072</v>
      </c>
      <c r="I55" s="11">
        <f t="shared" si="5"/>
        <v>8936.4702784486399</v>
      </c>
      <c r="J55" s="11">
        <f t="shared" si="6"/>
        <v>446.82351392243203</v>
      </c>
      <c r="K55" s="10">
        <f>C55*B25*B40*B55</f>
        <v>14660.051640996979</v>
      </c>
      <c r="L55" s="10">
        <f t="shared" si="7"/>
        <v>2909.76</v>
      </c>
      <c r="M55" s="8">
        <f t="shared" si="8"/>
        <v>2909.76</v>
      </c>
      <c r="N55" s="11">
        <f t="shared" si="9"/>
        <v>14548.800000000001</v>
      </c>
      <c r="O55" s="10">
        <f t="shared" si="10"/>
        <v>0</v>
      </c>
      <c r="P55" s="8">
        <f t="shared" si="11"/>
        <v>0</v>
      </c>
      <c r="Q55" s="11">
        <f t="shared" si="12"/>
        <v>0</v>
      </c>
      <c r="R55" s="11">
        <f t="shared" si="0"/>
        <v>23932.093792371074</v>
      </c>
    </row>
    <row r="56" spans="1:18" x14ac:dyDescent="0.3">
      <c r="A56" s="12" t="s">
        <v>54</v>
      </c>
      <c r="B56" s="10">
        <f>INDEX($I$5:$I$16, 1+MOD(12-1,12))</f>
        <v>2</v>
      </c>
      <c r="C56" s="8">
        <f t="shared" si="13"/>
        <v>171.03393581163144</v>
      </c>
      <c r="D56" s="10">
        <f t="shared" si="1"/>
        <v>342.06787162326287</v>
      </c>
      <c r="E56" s="10">
        <f t="shared" si="2"/>
        <v>342.06787162326287</v>
      </c>
      <c r="F56" s="10">
        <f t="shared" si="3"/>
        <v>981.55904000000021</v>
      </c>
      <c r="G56" s="10">
        <f>MIN(F56, MAX(F38-E56,0), F24*F38)</f>
        <v>64.984639999999999</v>
      </c>
      <c r="H56" s="11">
        <f t="shared" si="4"/>
        <v>28.436821400923584</v>
      </c>
      <c r="I56" s="11">
        <f t="shared" si="5"/>
        <v>11575.279573828098</v>
      </c>
      <c r="J56" s="11">
        <f t="shared" si="6"/>
        <v>578.76397869140499</v>
      </c>
      <c r="K56" s="10">
        <f>C56*B25*B40*B56</f>
        <v>20524.072297395771</v>
      </c>
      <c r="L56" s="10">
        <f t="shared" si="7"/>
        <v>2909.76</v>
      </c>
      <c r="M56" s="8">
        <f t="shared" si="8"/>
        <v>2909.76</v>
      </c>
      <c r="N56" s="11">
        <f t="shared" si="9"/>
        <v>14548.800000000001</v>
      </c>
      <c r="O56" s="10">
        <f t="shared" si="10"/>
        <v>0</v>
      </c>
      <c r="P56" s="8">
        <f t="shared" si="11"/>
        <v>0</v>
      </c>
      <c r="Q56" s="11">
        <f t="shared" si="12"/>
        <v>0</v>
      </c>
      <c r="R56" s="11">
        <f t="shared" si="0"/>
        <v>26702.843552519502</v>
      </c>
    </row>
    <row r="57" spans="1:18" x14ac:dyDescent="0.3">
      <c r="A57" s="12" t="s">
        <v>91</v>
      </c>
      <c r="B57" s="10">
        <f>INDEX($I$5:$I$16, 1+MOD(13-1,12))</f>
        <v>2</v>
      </c>
      <c r="C57" s="8">
        <f t="shared" si="13"/>
        <v>179.58563260221302</v>
      </c>
      <c r="D57" s="10">
        <f t="shared" si="1"/>
        <v>359.17126520442605</v>
      </c>
      <c r="E57" s="10">
        <f t="shared" si="2"/>
        <v>359.17126520442605</v>
      </c>
      <c r="F57" s="10">
        <f t="shared" si="3"/>
        <v>981.55904000000021</v>
      </c>
      <c r="G57" s="10">
        <f>MIN(F57, MAX(F38-E57,0), F24*F38)</f>
        <v>64.984639999999999</v>
      </c>
      <c r="H57" s="11">
        <f t="shared" si="4"/>
        <v>28.378883926461235</v>
      </c>
      <c r="I57" s="11">
        <f t="shared" si="5"/>
        <v>12037.071200519502</v>
      </c>
      <c r="J57" s="11">
        <f t="shared" si="6"/>
        <v>601.85356002597507</v>
      </c>
      <c r="K57" s="10">
        <f>C57*B25*B40*B57</f>
        <v>21550.275912265563</v>
      </c>
      <c r="L57" s="10">
        <f t="shared" si="7"/>
        <v>2909.76</v>
      </c>
      <c r="M57" s="8">
        <f t="shared" si="8"/>
        <v>2909.76</v>
      </c>
      <c r="N57" s="11">
        <f t="shared" si="9"/>
        <v>14548.800000000001</v>
      </c>
      <c r="O57" s="10">
        <f t="shared" si="10"/>
        <v>0</v>
      </c>
      <c r="P57" s="8">
        <f t="shared" si="11"/>
        <v>0</v>
      </c>
      <c r="Q57" s="11">
        <f t="shared" si="12"/>
        <v>0</v>
      </c>
      <c r="R57" s="11">
        <f t="shared" si="0"/>
        <v>27187.724760545476</v>
      </c>
    </row>
    <row r="58" spans="1:18" x14ac:dyDescent="0.3">
      <c r="A58" s="12" t="s">
        <v>92</v>
      </c>
      <c r="B58" s="10">
        <f>INDEX($I$5:$I$16, 1+MOD(14-1,12))</f>
        <v>1.5</v>
      </c>
      <c r="C58" s="8">
        <f t="shared" si="13"/>
        <v>188.56491423232367</v>
      </c>
      <c r="D58" s="10">
        <f t="shared" si="1"/>
        <v>282.84737134848552</v>
      </c>
      <c r="E58" s="10">
        <f t="shared" si="2"/>
        <v>282.84737134848552</v>
      </c>
      <c r="F58" s="10">
        <f t="shared" si="3"/>
        <v>736.16928000000019</v>
      </c>
      <c r="G58" s="10">
        <f>MIN(F58, MAX(F38-E58,0), F24*F38)</f>
        <v>64.984639999999999</v>
      </c>
      <c r="H58" s="11">
        <f t="shared" si="4"/>
        <v>28.681448920507894</v>
      </c>
      <c r="I58" s="11">
        <f t="shared" si="5"/>
        <v>9976.3260664091104</v>
      </c>
      <c r="J58" s="11">
        <f t="shared" si="6"/>
        <v>498.81630332045552</v>
      </c>
      <c r="K58" s="10">
        <f>C58*B25*B40*B58</f>
        <v>16970.842280909132</v>
      </c>
      <c r="L58" s="10">
        <f t="shared" si="7"/>
        <v>2909.76</v>
      </c>
      <c r="M58" s="8">
        <f t="shared" si="8"/>
        <v>2909.76</v>
      </c>
      <c r="N58" s="11">
        <f t="shared" si="9"/>
        <v>14548.800000000001</v>
      </c>
      <c r="O58" s="10">
        <f t="shared" si="10"/>
        <v>0</v>
      </c>
      <c r="P58" s="8">
        <f t="shared" si="11"/>
        <v>0</v>
      </c>
      <c r="Q58" s="11">
        <f t="shared" si="12"/>
        <v>0</v>
      </c>
      <c r="R58" s="11">
        <f t="shared" si="0"/>
        <v>25023.942369729564</v>
      </c>
    </row>
    <row r="59" spans="1:18" x14ac:dyDescent="0.3">
      <c r="A59" s="12" t="s">
        <v>93</v>
      </c>
      <c r="B59" s="10">
        <f>INDEX($I$5:$I$16, 1+MOD(15-1,12))</f>
        <v>1.5</v>
      </c>
      <c r="C59" s="8">
        <f t="shared" si="13"/>
        <v>197.99315994393987</v>
      </c>
      <c r="D59" s="10">
        <f t="shared" si="1"/>
        <v>296.98973991590981</v>
      </c>
      <c r="E59" s="10">
        <f t="shared" si="2"/>
        <v>296.98973991590981</v>
      </c>
      <c r="F59" s="10">
        <f t="shared" si="3"/>
        <v>736.16928000000019</v>
      </c>
      <c r="G59" s="10">
        <f>MIN(F59, MAX(F38-E59,0), F24*F38)</f>
        <v>64.984639999999999</v>
      </c>
      <c r="H59" s="11">
        <f t="shared" si="4"/>
        <v>28.615754573944898</v>
      </c>
      <c r="I59" s="11">
        <f t="shared" si="5"/>
        <v>10358.170017729564</v>
      </c>
      <c r="J59" s="11">
        <f t="shared" si="6"/>
        <v>517.90850088647824</v>
      </c>
      <c r="K59" s="10">
        <f>C59*B25*B40*B59</f>
        <v>17819.384394954592</v>
      </c>
      <c r="L59" s="10">
        <f t="shared" si="7"/>
        <v>2909.76</v>
      </c>
      <c r="M59" s="8">
        <f t="shared" si="8"/>
        <v>2909.76</v>
      </c>
      <c r="N59" s="11">
        <f t="shared" si="9"/>
        <v>14548.800000000001</v>
      </c>
      <c r="O59" s="10">
        <f t="shared" si="10"/>
        <v>0</v>
      </c>
      <c r="P59" s="8">
        <f t="shared" si="11"/>
        <v>0</v>
      </c>
      <c r="Q59" s="11">
        <f t="shared" si="12"/>
        <v>0</v>
      </c>
      <c r="R59" s="11">
        <f t="shared" si="0"/>
        <v>25424.878518616046</v>
      </c>
    </row>
    <row r="60" spans="1:18" x14ac:dyDescent="0.3">
      <c r="A60" s="12" t="s">
        <v>94</v>
      </c>
      <c r="B60" s="10">
        <f>INDEX($I$5:$I$16, 1+MOD(16-1,12))</f>
        <v>1.2</v>
      </c>
      <c r="C60" s="8">
        <f t="shared" si="13"/>
        <v>207.89281794113688</v>
      </c>
      <c r="D60" s="10">
        <f t="shared" si="1"/>
        <v>249.47138152936424</v>
      </c>
      <c r="E60" s="10">
        <f t="shared" si="2"/>
        <v>249.47138152936424</v>
      </c>
      <c r="F60" s="10">
        <f t="shared" si="3"/>
        <v>588.93542400000013</v>
      </c>
      <c r="G60" s="10">
        <f>MIN(F60, MAX(F38-E60,0), F24*F38)</f>
        <v>64.984639999999999</v>
      </c>
      <c r="H60" s="11">
        <f t="shared" si="4"/>
        <v>28.85991591814814</v>
      </c>
      <c r="I60" s="11">
        <f t="shared" si="5"/>
        <v>9075.1743412928336</v>
      </c>
      <c r="J60" s="11">
        <f t="shared" si="6"/>
        <v>453.7587170646417</v>
      </c>
      <c r="K60" s="10">
        <f>C60*B25*B40*B60</f>
        <v>14968.282891761855</v>
      </c>
      <c r="L60" s="10">
        <f t="shared" si="7"/>
        <v>2909.76</v>
      </c>
      <c r="M60" s="8">
        <f t="shared" si="8"/>
        <v>2909.76</v>
      </c>
      <c r="N60" s="11">
        <f t="shared" si="9"/>
        <v>14548.800000000001</v>
      </c>
      <c r="O60" s="10">
        <f t="shared" si="10"/>
        <v>0</v>
      </c>
      <c r="P60" s="8">
        <f t="shared" si="11"/>
        <v>0</v>
      </c>
      <c r="Q60" s="11">
        <f t="shared" si="12"/>
        <v>0</v>
      </c>
      <c r="R60" s="11">
        <f t="shared" si="0"/>
        <v>24077.733058357477</v>
      </c>
    </row>
    <row r="61" spans="1:18" x14ac:dyDescent="0.3">
      <c r="A61" s="12" t="s">
        <v>95</v>
      </c>
      <c r="B61" s="10">
        <f>INDEX($I$5:$I$16, 1+MOD(17-1,12))</f>
        <v>1</v>
      </c>
      <c r="C61" s="8">
        <f t="shared" si="13"/>
        <v>218.28745883819374</v>
      </c>
      <c r="D61" s="10">
        <f t="shared" si="1"/>
        <v>218.28745883819374</v>
      </c>
      <c r="E61" s="10">
        <f t="shared" si="2"/>
        <v>218.28745883819374</v>
      </c>
      <c r="F61" s="10">
        <f t="shared" si="3"/>
        <v>490.7795200000001</v>
      </c>
      <c r="G61" s="10">
        <f>MIN(F61, MAX(F38-E61,0), F24*F38)</f>
        <v>64.984639999999999</v>
      </c>
      <c r="H61" s="11">
        <f t="shared" si="4"/>
        <v>29.064664195304584</v>
      </c>
      <c r="I61" s="11">
        <f t="shared" si="5"/>
        <v>8233.2084286312311</v>
      </c>
      <c r="J61" s="11">
        <f t="shared" si="6"/>
        <v>411.66042143156159</v>
      </c>
      <c r="K61" s="10">
        <f>C61*B25*B40*B61</f>
        <v>13097.247530291625</v>
      </c>
      <c r="L61" s="10">
        <f t="shared" si="7"/>
        <v>2909.76</v>
      </c>
      <c r="M61" s="8">
        <f t="shared" si="8"/>
        <v>2909.76</v>
      </c>
      <c r="N61" s="11">
        <f t="shared" si="9"/>
        <v>14548.800000000001</v>
      </c>
      <c r="O61" s="10">
        <f t="shared" si="10"/>
        <v>0</v>
      </c>
      <c r="P61" s="8">
        <f t="shared" si="11"/>
        <v>0</v>
      </c>
      <c r="Q61" s="11">
        <f t="shared" si="12"/>
        <v>0</v>
      </c>
      <c r="R61" s="11">
        <f t="shared" si="0"/>
        <v>23193.668850062793</v>
      </c>
    </row>
    <row r="62" spans="1:18" x14ac:dyDescent="0.3">
      <c r="A62" s="12" t="s">
        <v>96</v>
      </c>
      <c r="B62" s="10">
        <f>INDEX($I$5:$I$16, 1+MOD(18-1,12))</f>
        <v>1</v>
      </c>
      <c r="C62" s="8">
        <f t="shared" si="13"/>
        <v>229.20183178010345</v>
      </c>
      <c r="D62" s="10">
        <f t="shared" si="1"/>
        <v>229.20183178010345</v>
      </c>
      <c r="E62" s="10">
        <f t="shared" si="2"/>
        <v>229.20183178010345</v>
      </c>
      <c r="F62" s="10">
        <f t="shared" si="3"/>
        <v>490.7795200000001</v>
      </c>
      <c r="G62" s="10">
        <f>MIN(F62, MAX(F38-E62,0), F24*F38)</f>
        <v>64.984639999999999</v>
      </c>
      <c r="H62" s="11">
        <f t="shared" si="4"/>
        <v>28.988064768787769</v>
      </c>
      <c r="I62" s="11">
        <f t="shared" si="5"/>
        <v>8527.8964980627934</v>
      </c>
      <c r="J62" s="11">
        <f t="shared" si="6"/>
        <v>426.39482490313969</v>
      </c>
      <c r="K62" s="10">
        <f>C62*B25*B40*B62</f>
        <v>13752.109906806207</v>
      </c>
      <c r="L62" s="10">
        <f t="shared" si="7"/>
        <v>2909.76</v>
      </c>
      <c r="M62" s="8">
        <f t="shared" si="8"/>
        <v>2909.76</v>
      </c>
      <c r="N62" s="11">
        <f t="shared" si="9"/>
        <v>14548.800000000001</v>
      </c>
      <c r="O62" s="10">
        <f t="shared" si="10"/>
        <v>0</v>
      </c>
      <c r="P62" s="8">
        <f t="shared" si="11"/>
        <v>0</v>
      </c>
      <c r="Q62" s="11">
        <f t="shared" si="12"/>
        <v>0</v>
      </c>
      <c r="R62" s="11">
        <f t="shared" si="0"/>
        <v>23503.091322965935</v>
      </c>
    </row>
    <row r="63" spans="1:18" x14ac:dyDescent="0.3">
      <c r="A63" s="12" t="s">
        <v>97</v>
      </c>
      <c r="B63" s="10">
        <f>INDEX($I$5:$I$16, 1+MOD(19-1,12))</f>
        <v>1</v>
      </c>
      <c r="C63" s="8">
        <f t="shared" si="13"/>
        <v>240.66192336910862</v>
      </c>
      <c r="D63" s="10">
        <f t="shared" si="1"/>
        <v>240.66192336910862</v>
      </c>
      <c r="E63" s="10">
        <f t="shared" si="2"/>
        <v>240.66192336910862</v>
      </c>
      <c r="F63" s="10">
        <f t="shared" si="3"/>
        <v>490.7795200000001</v>
      </c>
      <c r="G63" s="10">
        <f>MIN(F63, MAX(F38-E63,0), F24*F38)</f>
        <v>64.984639999999999</v>
      </c>
      <c r="H63" s="11">
        <f t="shared" si="4"/>
        <v>28.913523101824321</v>
      </c>
      <c r="I63" s="11">
        <f t="shared" si="5"/>
        <v>8837.3189709659327</v>
      </c>
      <c r="J63" s="11">
        <f t="shared" si="6"/>
        <v>441.86594854829667</v>
      </c>
      <c r="K63" s="10">
        <f>C63*B25*B40*B63</f>
        <v>14439.715402146518</v>
      </c>
      <c r="L63" s="10">
        <f t="shared" si="7"/>
        <v>2909.76</v>
      </c>
      <c r="M63" s="8">
        <f t="shared" si="8"/>
        <v>2909.76</v>
      </c>
      <c r="N63" s="11">
        <f t="shared" si="9"/>
        <v>14548.800000000001</v>
      </c>
      <c r="O63" s="10">
        <f t="shared" si="10"/>
        <v>0</v>
      </c>
      <c r="P63" s="8">
        <f t="shared" si="11"/>
        <v>0</v>
      </c>
      <c r="Q63" s="11">
        <f t="shared" si="12"/>
        <v>0</v>
      </c>
      <c r="R63" s="11">
        <f t="shared" si="0"/>
        <v>23827.984919514231</v>
      </c>
    </row>
    <row r="64" spans="1:18" x14ac:dyDescent="0.3">
      <c r="A64" s="12" t="s">
        <v>98</v>
      </c>
      <c r="B64" s="10">
        <f>INDEX($I$5:$I$16, 1+MOD(20-1,12))</f>
        <v>1</v>
      </c>
      <c r="C64" s="8">
        <f t="shared" si="13"/>
        <v>252.69501953756406</v>
      </c>
      <c r="D64" s="10">
        <f t="shared" si="1"/>
        <v>252.69501953756406</v>
      </c>
      <c r="E64" s="10">
        <f t="shared" si="2"/>
        <v>252.69501953756406</v>
      </c>
      <c r="F64" s="10">
        <f t="shared" si="3"/>
        <v>490.7795200000001</v>
      </c>
      <c r="G64" s="10">
        <f>MIN(F64, MAX(F38-E64,0), F24*F38)</f>
        <v>64.984639999999999</v>
      </c>
      <c r="H64" s="11">
        <f t="shared" si="4"/>
        <v>28.841042517016557</v>
      </c>
      <c r="I64" s="11">
        <f t="shared" si="5"/>
        <v>9162.2125675142306</v>
      </c>
      <c r="J64" s="11">
        <f t="shared" si="6"/>
        <v>458.11062837571154</v>
      </c>
      <c r="K64" s="10">
        <f>C64*B25*B40*B64</f>
        <v>15161.701172253845</v>
      </c>
      <c r="L64" s="10">
        <f t="shared" si="7"/>
        <v>2909.76</v>
      </c>
      <c r="M64" s="8">
        <f t="shared" si="8"/>
        <v>2909.76</v>
      </c>
      <c r="N64" s="11">
        <f t="shared" si="9"/>
        <v>14548.800000000001</v>
      </c>
      <c r="O64" s="10">
        <f t="shared" si="10"/>
        <v>0</v>
      </c>
      <c r="P64" s="8">
        <f t="shared" si="11"/>
        <v>0</v>
      </c>
      <c r="Q64" s="11">
        <f t="shared" si="12"/>
        <v>0</v>
      </c>
      <c r="R64" s="11">
        <f t="shared" si="0"/>
        <v>24169.123195889944</v>
      </c>
    </row>
    <row r="65" spans="1:18" x14ac:dyDescent="0.3">
      <c r="A65" s="12" t="s">
        <v>99</v>
      </c>
      <c r="B65" s="10">
        <f>INDEX($I$5:$I$16, 1+MOD(21-1,12))</f>
        <v>1.2</v>
      </c>
      <c r="C65" s="8">
        <f t="shared" si="13"/>
        <v>265.32977051444226</v>
      </c>
      <c r="D65" s="10">
        <f t="shared" si="1"/>
        <v>318.3957246173307</v>
      </c>
      <c r="E65" s="10">
        <f t="shared" si="2"/>
        <v>318.3957246173307</v>
      </c>
      <c r="F65" s="10">
        <f t="shared" si="3"/>
        <v>588.93542400000013</v>
      </c>
      <c r="G65" s="10">
        <f>MIN(F65, MAX(F38-E65,0), F24*F38)</f>
        <v>64.984639999999999</v>
      </c>
      <c r="H65" s="11">
        <f t="shared" si="4"/>
        <v>28.525539161568108</v>
      </c>
      <c r="I65" s="11">
        <f t="shared" si="5"/>
        <v>10936.131604667928</v>
      </c>
      <c r="J65" s="11">
        <f t="shared" si="6"/>
        <v>546.8065802333964</v>
      </c>
      <c r="K65" s="10">
        <f>C65*B25*B40*B65</f>
        <v>19103.743477039843</v>
      </c>
      <c r="L65" s="10">
        <f t="shared" si="7"/>
        <v>2909.76</v>
      </c>
      <c r="M65" s="8">
        <f t="shared" si="8"/>
        <v>2909.76</v>
      </c>
      <c r="N65" s="11">
        <f t="shared" si="9"/>
        <v>14548.800000000001</v>
      </c>
      <c r="O65" s="10">
        <f t="shared" si="10"/>
        <v>0</v>
      </c>
      <c r="P65" s="8">
        <f t="shared" si="11"/>
        <v>0</v>
      </c>
      <c r="Q65" s="11">
        <f t="shared" si="12"/>
        <v>0</v>
      </c>
      <c r="R65" s="11">
        <f t="shared" si="0"/>
        <v>26031.738184901325</v>
      </c>
    </row>
    <row r="66" spans="1:18" x14ac:dyDescent="0.3">
      <c r="A66" s="12" t="s">
        <v>100</v>
      </c>
      <c r="B66" s="10">
        <f>INDEX($I$5:$I$16, 1+MOD(22-1,12))</f>
        <v>1.5</v>
      </c>
      <c r="C66" s="8">
        <f t="shared" si="13"/>
        <v>278.5962590401644</v>
      </c>
      <c r="D66" s="10">
        <f t="shared" si="1"/>
        <v>417.89438856024663</v>
      </c>
      <c r="E66" s="10">
        <f t="shared" si="2"/>
        <v>417.89438856024663</v>
      </c>
      <c r="F66" s="10">
        <f t="shared" si="3"/>
        <v>736.16928000000019</v>
      </c>
      <c r="G66" s="10">
        <f>MIN(F66, MAX(F38-E66,0), F24*F38)</f>
        <v>64.984639999999999</v>
      </c>
      <c r="H66" s="11">
        <f t="shared" si="4"/>
        <v>28.21119726765485</v>
      </c>
      <c r="I66" s="11">
        <f t="shared" si="5"/>
        <v>13622.595531126659</v>
      </c>
      <c r="J66" s="11">
        <f t="shared" si="6"/>
        <v>681.12977655633301</v>
      </c>
      <c r="K66" s="10">
        <f>C66*B25*B40*B66</f>
        <v>25073.663313614798</v>
      </c>
      <c r="L66" s="10">
        <f t="shared" si="7"/>
        <v>2909.76</v>
      </c>
      <c r="M66" s="8">
        <f t="shared" si="8"/>
        <v>2909.76</v>
      </c>
      <c r="N66" s="11">
        <f t="shared" si="9"/>
        <v>14548.800000000001</v>
      </c>
      <c r="O66" s="10">
        <f t="shared" si="10"/>
        <v>0</v>
      </c>
      <c r="P66" s="8">
        <f t="shared" si="11"/>
        <v>0</v>
      </c>
      <c r="Q66" s="11">
        <f t="shared" si="12"/>
        <v>0</v>
      </c>
      <c r="R66" s="11">
        <f t="shared" si="0"/>
        <v>28852.52530768299</v>
      </c>
    </row>
    <row r="67" spans="1:18" x14ac:dyDescent="0.3">
      <c r="A67" s="12" t="s">
        <v>101</v>
      </c>
      <c r="B67" s="10">
        <f>INDEX($I$5:$I$16, 1+MOD(23-1,12))</f>
        <v>1.5</v>
      </c>
      <c r="C67" s="8">
        <f t="shared" si="13"/>
        <v>292.5260719921726</v>
      </c>
      <c r="D67" s="10">
        <f t="shared" si="1"/>
        <v>438.78910798825893</v>
      </c>
      <c r="E67" s="10">
        <f t="shared" si="2"/>
        <v>438.78910798825893</v>
      </c>
      <c r="F67" s="10">
        <f t="shared" si="3"/>
        <v>736.16928000000019</v>
      </c>
      <c r="G67" s="10">
        <f>MIN(F67, MAX(F38-E67,0), F24*F38)</f>
        <v>64.984639999999999</v>
      </c>
      <c r="H67" s="11">
        <f t="shared" si="4"/>
        <v>28.160961170238728</v>
      </c>
      <c r="I67" s="11">
        <f t="shared" si="5"/>
        <v>14186.75295568299</v>
      </c>
      <c r="J67" s="11">
        <f t="shared" si="6"/>
        <v>709.33764778414957</v>
      </c>
      <c r="K67" s="10">
        <f>C67*B25*B40*B67</f>
        <v>26327.346479295535</v>
      </c>
      <c r="L67" s="10">
        <f t="shared" si="7"/>
        <v>2909.76</v>
      </c>
      <c r="M67" s="8">
        <f t="shared" si="8"/>
        <v>2909.76</v>
      </c>
      <c r="N67" s="11">
        <f t="shared" si="9"/>
        <v>14548.800000000001</v>
      </c>
      <c r="O67" s="10">
        <f t="shared" si="10"/>
        <v>0</v>
      </c>
      <c r="P67" s="8">
        <f t="shared" si="11"/>
        <v>0</v>
      </c>
      <c r="Q67" s="11">
        <f t="shared" si="12"/>
        <v>0</v>
      </c>
      <c r="R67" s="11">
        <f t="shared" si="0"/>
        <v>29444.890603467142</v>
      </c>
    </row>
    <row r="68" spans="1:18" x14ac:dyDescent="0.3">
      <c r="A68" s="12" t="s">
        <v>102</v>
      </c>
      <c r="B68" s="10">
        <f>INDEX($I$5:$I$16, 1+MOD(24-1,12))</f>
        <v>2</v>
      </c>
      <c r="C68" s="8">
        <f t="shared" si="13"/>
        <v>307.15237559178127</v>
      </c>
      <c r="D68" s="10">
        <f t="shared" si="1"/>
        <v>614.30475118356253</v>
      </c>
      <c r="E68" s="10">
        <f t="shared" si="2"/>
        <v>614.30475118356253</v>
      </c>
      <c r="F68" s="10">
        <f t="shared" si="3"/>
        <v>981.55904000000021</v>
      </c>
      <c r="G68" s="10">
        <f>MIN(F68, MAX(F38-E68,0), F24*F38)</f>
        <v>35.541648816437487</v>
      </c>
      <c r="H68" s="11">
        <f t="shared" si="4"/>
        <v>27.492231455537702</v>
      </c>
      <c r="I68" s="11">
        <f t="shared" si="5"/>
        <v>17865.727639347937</v>
      </c>
      <c r="J68" s="11">
        <f t="shared" si="6"/>
        <v>893.28638196739689</v>
      </c>
      <c r="K68" s="10">
        <f>C68*B25*B40*B68</f>
        <v>36858.28507101375</v>
      </c>
      <c r="L68" s="10">
        <f t="shared" si="7"/>
        <v>2909.76</v>
      </c>
      <c r="M68" s="8">
        <f t="shared" si="8"/>
        <v>2909.76</v>
      </c>
      <c r="N68" s="11">
        <f t="shared" si="9"/>
        <v>14548.800000000001</v>
      </c>
      <c r="O68" s="10">
        <f t="shared" si="10"/>
        <v>0</v>
      </c>
      <c r="P68" s="8">
        <f t="shared" si="11"/>
        <v>0</v>
      </c>
      <c r="Q68" s="11">
        <f t="shared" si="12"/>
        <v>0</v>
      </c>
      <c r="R68" s="11">
        <f t="shared" si="0"/>
        <v>33307.814021315338</v>
      </c>
    </row>
    <row r="69" spans="1:18" x14ac:dyDescent="0.3">
      <c r="A69" s="12" t="s">
        <v>103</v>
      </c>
      <c r="B69" s="10">
        <f>INDEX($I$5:$I$16, 1+MOD(25-1,12))</f>
        <v>2</v>
      </c>
      <c r="C69" s="8">
        <f t="shared" si="13"/>
        <v>322.50999437137034</v>
      </c>
      <c r="D69" s="10">
        <f t="shared" si="1"/>
        <v>645.01998874274068</v>
      </c>
      <c r="E69" s="10">
        <f t="shared" si="2"/>
        <v>645.01998874274068</v>
      </c>
      <c r="F69" s="10">
        <f t="shared" si="3"/>
        <v>981.55904000000021</v>
      </c>
      <c r="G69" s="10">
        <f>MIN(F69, MAX(F38-E69,0), F24*F38)</f>
        <v>4.8264112572593376</v>
      </c>
      <c r="H69" s="11">
        <f t="shared" si="4"/>
        <v>27.06684302831459</v>
      </c>
      <c r="I69" s="11">
        <f t="shared" si="5"/>
        <v>17589.290501315336</v>
      </c>
      <c r="J69" s="11">
        <f t="shared" si="6"/>
        <v>879.46452506576679</v>
      </c>
      <c r="K69" s="10">
        <f>C69*B25*B40*B69</f>
        <v>38701.199324564441</v>
      </c>
      <c r="L69" s="10">
        <f t="shared" si="7"/>
        <v>2909.76</v>
      </c>
      <c r="M69" s="8">
        <f t="shared" si="8"/>
        <v>2909.76</v>
      </c>
      <c r="N69" s="11">
        <f t="shared" si="9"/>
        <v>14548.800000000001</v>
      </c>
      <c r="O69" s="10">
        <f t="shared" si="10"/>
        <v>0</v>
      </c>
      <c r="P69" s="8">
        <f t="shared" si="11"/>
        <v>0</v>
      </c>
      <c r="Q69" s="11">
        <f t="shared" si="12"/>
        <v>0</v>
      </c>
      <c r="R69" s="11">
        <f t="shared" si="0"/>
        <v>33017.555026381102</v>
      </c>
    </row>
    <row r="70" spans="1:18" x14ac:dyDescent="0.3">
      <c r="A70" s="12" t="s">
        <v>104</v>
      </c>
      <c r="B70" s="10">
        <f>INDEX($I$5:$I$16, 1+MOD(26-1,12))</f>
        <v>1.5</v>
      </c>
      <c r="C70" s="8">
        <f t="shared" si="13"/>
        <v>338.63549408993885</v>
      </c>
      <c r="D70" s="10">
        <f t="shared" si="1"/>
        <v>507.95324113490824</v>
      </c>
      <c r="E70" s="10">
        <f t="shared" si="2"/>
        <v>507.95324113490824</v>
      </c>
      <c r="F70" s="10">
        <f t="shared" si="3"/>
        <v>736.16928000000019</v>
      </c>
      <c r="G70" s="10">
        <f>MIN(F70, MAX(F38-E70,0), F24*F38)</f>
        <v>64.984639999999999</v>
      </c>
      <c r="H70" s="11">
        <f t="shared" si="4"/>
        <v>28.020811817926006</v>
      </c>
      <c r="I70" s="11">
        <f t="shared" si="5"/>
        <v>16054.184550642523</v>
      </c>
      <c r="J70" s="11">
        <f t="shared" si="6"/>
        <v>802.70922753212619</v>
      </c>
      <c r="K70" s="10">
        <f>C70*B25*B40*B70</f>
        <v>30477.194468094494</v>
      </c>
      <c r="L70" s="10">
        <f t="shared" si="7"/>
        <v>2909.76</v>
      </c>
      <c r="M70" s="8">
        <f t="shared" si="8"/>
        <v>2909.76</v>
      </c>
      <c r="N70" s="11">
        <f t="shared" si="9"/>
        <v>14548.800000000001</v>
      </c>
      <c r="O70" s="10">
        <f t="shared" si="10"/>
        <v>0</v>
      </c>
      <c r="P70" s="8">
        <f t="shared" si="11"/>
        <v>0</v>
      </c>
      <c r="Q70" s="11">
        <f t="shared" si="12"/>
        <v>0</v>
      </c>
      <c r="R70" s="11">
        <f t="shared" si="0"/>
        <v>31405.693778174653</v>
      </c>
    </row>
    <row r="71" spans="1:18" x14ac:dyDescent="0.3">
      <c r="A71" s="12" t="s">
        <v>105</v>
      </c>
      <c r="B71" s="10">
        <f>INDEX($I$5:$I$16, 1+MOD(27-1,12))</f>
        <v>1.5</v>
      </c>
      <c r="C71" s="8">
        <f t="shared" si="13"/>
        <v>355.56726879443579</v>
      </c>
      <c r="D71" s="10">
        <f t="shared" si="1"/>
        <v>533.35090319165374</v>
      </c>
      <c r="E71" s="10">
        <f t="shared" si="2"/>
        <v>533.35090319165374</v>
      </c>
      <c r="F71" s="10">
        <f t="shared" si="3"/>
        <v>736.16928000000019</v>
      </c>
      <c r="G71" s="10">
        <f>MIN(F71, MAX(F38-E71,0), F24*F38)</f>
        <v>64.984639999999999</v>
      </c>
      <c r="H71" s="11">
        <f t="shared" si="4"/>
        <v>27.97748122546793</v>
      </c>
      <c r="I71" s="11">
        <f t="shared" si="5"/>
        <v>16739.921426174649</v>
      </c>
      <c r="J71" s="11">
        <f t="shared" si="6"/>
        <v>836.99607130873255</v>
      </c>
      <c r="K71" s="10">
        <f>C71*B25*B40*B71</f>
        <v>32001.054191499221</v>
      </c>
      <c r="L71" s="10">
        <f t="shared" si="7"/>
        <v>2909.76</v>
      </c>
      <c r="M71" s="8">
        <f t="shared" si="8"/>
        <v>2909.76</v>
      </c>
      <c r="N71" s="11">
        <f t="shared" si="9"/>
        <v>14548.800000000001</v>
      </c>
      <c r="O71" s="10">
        <f t="shared" si="10"/>
        <v>0</v>
      </c>
      <c r="P71" s="8">
        <f t="shared" si="11"/>
        <v>0</v>
      </c>
      <c r="Q71" s="11">
        <f t="shared" si="12"/>
        <v>0</v>
      </c>
      <c r="R71" s="11">
        <f t="shared" si="0"/>
        <v>32125.717497483383</v>
      </c>
    </row>
    <row r="72" spans="1:18" x14ac:dyDescent="0.3">
      <c r="A72" s="12" t="s">
        <v>106</v>
      </c>
      <c r="B72" s="10">
        <f>INDEX($I$5:$I$16, 1+MOD(28-1,12))</f>
        <v>1.2</v>
      </c>
      <c r="C72" s="8">
        <f t="shared" si="13"/>
        <v>373.34563223415762</v>
      </c>
      <c r="D72" s="10">
        <f t="shared" si="1"/>
        <v>448.01475868098913</v>
      </c>
      <c r="E72" s="10">
        <f t="shared" si="2"/>
        <v>448.01475868098913</v>
      </c>
      <c r="F72" s="10">
        <f t="shared" si="3"/>
        <v>588.93542400000013</v>
      </c>
      <c r="G72" s="10">
        <f>MIN(F72, MAX(F38-E72,0), F24*F38)</f>
        <v>64.984639999999999</v>
      </c>
      <c r="H72" s="11">
        <f t="shared" si="4"/>
        <v>28.140082739870227</v>
      </c>
      <c r="I72" s="11">
        <f t="shared" si="5"/>
        <v>14435.845524386707</v>
      </c>
      <c r="J72" s="11">
        <f t="shared" si="6"/>
        <v>721.79227621933535</v>
      </c>
      <c r="K72" s="10">
        <f>C72*B25*B40*B72</f>
        <v>26880.885520859349</v>
      </c>
      <c r="L72" s="10">
        <f t="shared" si="7"/>
        <v>2909.76</v>
      </c>
      <c r="M72" s="8">
        <f t="shared" si="8"/>
        <v>2909.76</v>
      </c>
      <c r="N72" s="11">
        <f t="shared" si="9"/>
        <v>14548.800000000001</v>
      </c>
      <c r="O72" s="10">
        <f t="shared" si="10"/>
        <v>0</v>
      </c>
      <c r="P72" s="8">
        <f t="shared" si="11"/>
        <v>0</v>
      </c>
      <c r="Q72" s="11">
        <f t="shared" si="12"/>
        <v>0</v>
      </c>
      <c r="R72" s="11">
        <f t="shared" si="0"/>
        <v>29706.437800606043</v>
      </c>
    </row>
    <row r="73" spans="1:18" x14ac:dyDescent="0.3">
      <c r="A73" s="12" t="s">
        <v>107</v>
      </c>
      <c r="B73" s="10">
        <f>INDEX($I$5:$I$16, 1+MOD(29-1,12))</f>
        <v>1</v>
      </c>
      <c r="C73" s="8">
        <f t="shared" si="13"/>
        <v>392.01291384586551</v>
      </c>
      <c r="D73" s="10">
        <f t="shared" si="1"/>
        <v>392.01291384586551</v>
      </c>
      <c r="E73" s="10">
        <f t="shared" si="2"/>
        <v>392.01291384586551</v>
      </c>
      <c r="F73" s="10">
        <f t="shared" si="3"/>
        <v>490.7795200000001</v>
      </c>
      <c r="G73" s="10">
        <f>MIN(F73, MAX(F38-E73,0), F24*F38)</f>
        <v>64.984639999999999</v>
      </c>
      <c r="H73" s="11">
        <f t="shared" si="4"/>
        <v>28.279791883081412</v>
      </c>
      <c r="I73" s="11">
        <f t="shared" si="5"/>
        <v>12923.795713838368</v>
      </c>
      <c r="J73" s="11">
        <f t="shared" si="6"/>
        <v>646.18978569191847</v>
      </c>
      <c r="K73" s="10">
        <f>C73*B25*B40*B73</f>
        <v>23520.774830751932</v>
      </c>
      <c r="L73" s="10">
        <f t="shared" si="7"/>
        <v>2909.76</v>
      </c>
      <c r="M73" s="8">
        <f t="shared" si="8"/>
        <v>2909.76</v>
      </c>
      <c r="N73" s="11">
        <f t="shared" si="9"/>
        <v>14548.800000000001</v>
      </c>
      <c r="O73" s="10">
        <f t="shared" si="10"/>
        <v>0</v>
      </c>
      <c r="P73" s="8">
        <f t="shared" si="11"/>
        <v>0</v>
      </c>
      <c r="Q73" s="11">
        <f t="shared" si="12"/>
        <v>0</v>
      </c>
      <c r="R73" s="11">
        <f t="shared" si="0"/>
        <v>28118.785499530288</v>
      </c>
    </row>
    <row r="74" spans="1:18" x14ac:dyDescent="0.3">
      <c r="A74" s="12" t="s">
        <v>108</v>
      </c>
      <c r="B74" s="10">
        <f>INDEX($I$5:$I$16, 1+MOD(30-1,12))</f>
        <v>1</v>
      </c>
      <c r="C74" s="8">
        <f t="shared" si="13"/>
        <v>411.61355953815882</v>
      </c>
      <c r="D74" s="10">
        <f t="shared" si="1"/>
        <v>411.61355953815882</v>
      </c>
      <c r="E74" s="10">
        <f t="shared" si="2"/>
        <v>411.61355953815882</v>
      </c>
      <c r="F74" s="10">
        <f t="shared" si="3"/>
        <v>490.7795200000001</v>
      </c>
      <c r="G74" s="10">
        <f>MIN(F74, MAX(F38-E74,0), F24*F38)</f>
        <v>64.984639999999999</v>
      </c>
      <c r="H74" s="11">
        <f t="shared" si="4"/>
        <v>28.227158979129069</v>
      </c>
      <c r="I74" s="11">
        <f t="shared" si="5"/>
        <v>13453.013147530288</v>
      </c>
      <c r="J74" s="11">
        <f t="shared" si="6"/>
        <v>672.65065737651446</v>
      </c>
      <c r="K74" s="10">
        <f>C74*B25*B40*B74</f>
        <v>24696.813572289531</v>
      </c>
      <c r="L74" s="10">
        <f t="shared" si="7"/>
        <v>2909.76</v>
      </c>
      <c r="M74" s="8">
        <f t="shared" si="8"/>
        <v>2909.76</v>
      </c>
      <c r="N74" s="11">
        <f t="shared" si="9"/>
        <v>14548.800000000001</v>
      </c>
      <c r="O74" s="10">
        <f t="shared" si="10"/>
        <v>0</v>
      </c>
      <c r="P74" s="8">
        <f t="shared" si="11"/>
        <v>0</v>
      </c>
      <c r="Q74" s="11">
        <f t="shared" si="12"/>
        <v>0</v>
      </c>
      <c r="R74" s="11">
        <f t="shared" si="0"/>
        <v>28674.463804906802</v>
      </c>
    </row>
    <row r="75" spans="1:18" x14ac:dyDescent="0.3">
      <c r="A75" s="12" t="s">
        <v>109</v>
      </c>
      <c r="B75" s="10">
        <f>INDEX($I$5:$I$16, 1+MOD(31-1,12))</f>
        <v>1</v>
      </c>
      <c r="C75" s="8">
        <f t="shared" si="13"/>
        <v>432.19423751506679</v>
      </c>
      <c r="D75" s="10">
        <f t="shared" si="1"/>
        <v>432.19423751506679</v>
      </c>
      <c r="E75" s="10">
        <f t="shared" si="2"/>
        <v>432.19423751506679</v>
      </c>
      <c r="F75" s="10">
        <f t="shared" si="3"/>
        <v>490.7795200000001</v>
      </c>
      <c r="G75" s="10">
        <f>MIN(F75, MAX(F38-E75,0), F24*F38)</f>
        <v>64.984639999999999</v>
      </c>
      <c r="H75" s="11">
        <f t="shared" si="4"/>
        <v>28.176360836009721</v>
      </c>
      <c r="I75" s="11">
        <f t="shared" si="5"/>
        <v>14008.691452906802</v>
      </c>
      <c r="J75" s="11">
        <f t="shared" si="6"/>
        <v>700.43457264534015</v>
      </c>
      <c r="K75" s="10">
        <f>C75*B25*B40*B75</f>
        <v>25931.654250904008</v>
      </c>
      <c r="L75" s="10">
        <f t="shared" si="7"/>
        <v>2909.76</v>
      </c>
      <c r="M75" s="8">
        <f t="shared" si="8"/>
        <v>2909.76</v>
      </c>
      <c r="N75" s="11">
        <f t="shared" si="9"/>
        <v>14548.800000000001</v>
      </c>
      <c r="O75" s="10">
        <f t="shared" si="10"/>
        <v>0</v>
      </c>
      <c r="P75" s="8">
        <f t="shared" si="11"/>
        <v>0</v>
      </c>
      <c r="Q75" s="11">
        <f t="shared" si="12"/>
        <v>0</v>
      </c>
      <c r="R75" s="11">
        <f t="shared" si="0"/>
        <v>29257.926025552144</v>
      </c>
    </row>
    <row r="76" spans="1:18" x14ac:dyDescent="0.3">
      <c r="A76" s="12" t="s">
        <v>110</v>
      </c>
      <c r="B76" s="10">
        <f>INDEX($I$5:$I$16, 1+MOD(32-1,12))</f>
        <v>1</v>
      </c>
      <c r="C76" s="8">
        <f t="shared" si="13"/>
        <v>453.80394939082015</v>
      </c>
      <c r="D76" s="10">
        <f t="shared" si="1"/>
        <v>453.80394939082015</v>
      </c>
      <c r="E76" s="10">
        <f t="shared" si="2"/>
        <v>453.80394939082015</v>
      </c>
      <c r="F76" s="10">
        <f t="shared" si="3"/>
        <v>490.7795200000001</v>
      </c>
      <c r="G76" s="10">
        <f>MIN(F76, MAX(F38-E76,0), F24*F38)</f>
        <v>64.984639999999999</v>
      </c>
      <c r="H76" s="11">
        <f t="shared" si="4"/>
        <v>28.127360493195823</v>
      </c>
      <c r="I76" s="11">
        <f t="shared" si="5"/>
        <v>14592.153673552144</v>
      </c>
      <c r="J76" s="11">
        <f t="shared" si="6"/>
        <v>729.60768367760727</v>
      </c>
      <c r="K76" s="10">
        <f>C76*B25*B40*B76</f>
        <v>27228.23696344921</v>
      </c>
      <c r="L76" s="10">
        <f t="shared" si="7"/>
        <v>2909.76</v>
      </c>
      <c r="M76" s="8">
        <f t="shared" si="8"/>
        <v>2909.76</v>
      </c>
      <c r="N76" s="11">
        <f t="shared" si="9"/>
        <v>14548.800000000001</v>
      </c>
      <c r="O76" s="10">
        <f t="shared" si="10"/>
        <v>0</v>
      </c>
      <c r="P76" s="8">
        <f t="shared" si="11"/>
        <v>0</v>
      </c>
      <c r="Q76" s="11">
        <f t="shared" si="12"/>
        <v>0</v>
      </c>
      <c r="R76" s="11">
        <f t="shared" si="0"/>
        <v>29870.561357229752</v>
      </c>
    </row>
    <row r="77" spans="1:18" x14ac:dyDescent="0.3">
      <c r="A77" s="12" t="s">
        <v>111</v>
      </c>
      <c r="B77" s="10">
        <f>INDEX($I$5:$I$16, 1+MOD(33-1,12))</f>
        <v>1.2</v>
      </c>
      <c r="C77" s="8">
        <f t="shared" si="13"/>
        <v>476.49414686036118</v>
      </c>
      <c r="D77" s="10">
        <f t="shared" si="1"/>
        <v>571.79297623243338</v>
      </c>
      <c r="E77" s="10">
        <f t="shared" si="2"/>
        <v>571.79297623243338</v>
      </c>
      <c r="F77" s="10">
        <f t="shared" si="3"/>
        <v>588.93542400000013</v>
      </c>
      <c r="G77" s="10">
        <f>MIN(F77, MAX(F38-E77,0), F24*F38)</f>
        <v>64.984639999999999</v>
      </c>
      <c r="H77" s="11">
        <f t="shared" si="4"/>
        <v>27.918470978079284</v>
      </c>
      <c r="I77" s="11">
        <f t="shared" si="5"/>
        <v>17777.857398275701</v>
      </c>
      <c r="J77" s="11">
        <f t="shared" si="6"/>
        <v>888.89286991378503</v>
      </c>
      <c r="K77" s="10">
        <f>C77*B25*B40*B77</f>
        <v>34307.578573946004</v>
      </c>
      <c r="L77" s="10">
        <f t="shared" si="7"/>
        <v>2909.76</v>
      </c>
      <c r="M77" s="8">
        <f t="shared" si="8"/>
        <v>2909.76</v>
      </c>
      <c r="N77" s="11">
        <f t="shared" si="9"/>
        <v>14548.800000000001</v>
      </c>
      <c r="O77" s="10">
        <f t="shared" si="10"/>
        <v>0</v>
      </c>
      <c r="P77" s="8">
        <f t="shared" si="11"/>
        <v>0</v>
      </c>
      <c r="Q77" s="11">
        <f t="shared" si="12"/>
        <v>0</v>
      </c>
      <c r="R77" s="11">
        <f t="shared" si="0"/>
        <v>33215.550268189487</v>
      </c>
    </row>
    <row r="78" spans="1:18" x14ac:dyDescent="0.3">
      <c r="A78" s="12" t="s">
        <v>112</v>
      </c>
      <c r="B78" s="10">
        <f>INDEX($I$5:$I$16, 1+MOD(34-1,12))</f>
        <v>1.5</v>
      </c>
      <c r="C78" s="8">
        <f t="shared" si="13"/>
        <v>500.31885420337926</v>
      </c>
      <c r="D78" s="10">
        <f t="shared" si="1"/>
        <v>750.47828130506889</v>
      </c>
      <c r="E78" s="10">
        <f t="shared" si="2"/>
        <v>649.84640000000002</v>
      </c>
      <c r="F78" s="10">
        <f t="shared" si="3"/>
        <v>736.16928000000019</v>
      </c>
      <c r="G78" s="10">
        <f>MIN(F78, MAX(F38-E78,0), F24*F38)</f>
        <v>0</v>
      </c>
      <c r="H78" s="11">
        <f t="shared" si="4"/>
        <v>27</v>
      </c>
      <c r="I78" s="11">
        <f t="shared" si="5"/>
        <v>17545.852800000001</v>
      </c>
      <c r="J78" s="11">
        <f t="shared" si="6"/>
        <v>877.29264000000012</v>
      </c>
      <c r="K78" s="10">
        <f>C78*B25*B40*B78</f>
        <v>45028.69687830413</v>
      </c>
      <c r="L78" s="10">
        <f t="shared" si="7"/>
        <v>2909.76</v>
      </c>
      <c r="M78" s="8">
        <f t="shared" si="8"/>
        <v>2909.76</v>
      </c>
      <c r="N78" s="11">
        <f t="shared" si="9"/>
        <v>14548.800000000001</v>
      </c>
      <c r="O78" s="10">
        <f t="shared" si="10"/>
        <v>0</v>
      </c>
      <c r="P78" s="8">
        <f t="shared" si="11"/>
        <v>0</v>
      </c>
      <c r="Q78" s="11">
        <f t="shared" si="12"/>
        <v>0</v>
      </c>
      <c r="R78" s="11">
        <f t="shared" si="0"/>
        <v>32971.945440000003</v>
      </c>
    </row>
    <row r="79" spans="1:18" x14ac:dyDescent="0.3">
      <c r="A79" s="12" t="s">
        <v>113</v>
      </c>
      <c r="B79" s="10">
        <f>INDEX($I$5:$I$16, 1+MOD(35-1,12))</f>
        <v>1.5</v>
      </c>
      <c r="C79" s="8">
        <f t="shared" si="13"/>
        <v>525.33479691354819</v>
      </c>
      <c r="D79" s="10">
        <f t="shared" si="1"/>
        <v>788.00219537032228</v>
      </c>
      <c r="E79" s="10">
        <f t="shared" si="2"/>
        <v>649.84640000000002</v>
      </c>
      <c r="F79" s="10">
        <f t="shared" si="3"/>
        <v>736.16928000000019</v>
      </c>
      <c r="G79" s="10">
        <f>MIN(F79, MAX(F38-E79,0), F24*F38)</f>
        <v>0</v>
      </c>
      <c r="H79" s="11">
        <f t="shared" si="4"/>
        <v>27</v>
      </c>
      <c r="I79" s="11">
        <f t="shared" si="5"/>
        <v>17545.852800000001</v>
      </c>
      <c r="J79" s="11">
        <f t="shared" si="6"/>
        <v>877.29264000000012</v>
      </c>
      <c r="K79" s="10">
        <f>C79*B25*B40*B79</f>
        <v>47280.131722219332</v>
      </c>
      <c r="L79" s="10">
        <f t="shared" si="7"/>
        <v>2909.76</v>
      </c>
      <c r="M79" s="8">
        <f t="shared" si="8"/>
        <v>2909.76</v>
      </c>
      <c r="N79" s="11">
        <f t="shared" si="9"/>
        <v>14548.800000000001</v>
      </c>
      <c r="O79" s="10">
        <f t="shared" si="10"/>
        <v>0</v>
      </c>
      <c r="P79" s="8">
        <f t="shared" si="11"/>
        <v>0</v>
      </c>
      <c r="Q79" s="11">
        <f t="shared" si="12"/>
        <v>0</v>
      </c>
      <c r="R79" s="11">
        <f t="shared" si="0"/>
        <v>32971.945440000003</v>
      </c>
    </row>
    <row r="80" spans="1:18" x14ac:dyDescent="0.3">
      <c r="A80" s="12" t="s">
        <v>114</v>
      </c>
      <c r="B80" s="10">
        <f>INDEX($I$5:$I$16, 1+MOD(36-1,12))</f>
        <v>2</v>
      </c>
      <c r="C80" s="8">
        <f t="shared" si="13"/>
        <v>551.60153675922561</v>
      </c>
      <c r="D80" s="10">
        <f t="shared" si="1"/>
        <v>1103.2030735184512</v>
      </c>
      <c r="E80" s="10">
        <f t="shared" si="2"/>
        <v>649.84640000000002</v>
      </c>
      <c r="F80" s="10">
        <f>(($B$31*$F$34*$B$10) + ($B$32*$F$35*$B$10))*(1+$F$24)*B80</f>
        <v>981.55904000000021</v>
      </c>
      <c r="G80" s="10">
        <f>MIN(F80, MAX(F38-E80,0), F24*F38)</f>
        <v>0</v>
      </c>
      <c r="H80" s="11">
        <f t="shared" si="4"/>
        <v>27</v>
      </c>
      <c r="I80" s="11">
        <f t="shared" si="5"/>
        <v>17545.852800000001</v>
      </c>
      <c r="J80" s="11">
        <f>H80*(E80+G80)*$F$12</f>
        <v>877.29264000000012</v>
      </c>
      <c r="K80" s="10">
        <f>C80*B25*B40*B80</f>
        <v>66192.184411107068</v>
      </c>
      <c r="L80" s="10">
        <f t="shared" si="7"/>
        <v>2909.76</v>
      </c>
      <c r="M80" s="8">
        <f t="shared" si="8"/>
        <v>2909.76</v>
      </c>
      <c r="N80" s="11">
        <f t="shared" si="9"/>
        <v>14548.800000000001</v>
      </c>
      <c r="O80" s="10">
        <f t="shared" si="10"/>
        <v>0</v>
      </c>
      <c r="P80" s="8">
        <f t="shared" si="11"/>
        <v>0</v>
      </c>
      <c r="Q80" s="11">
        <f t="shared" si="12"/>
        <v>0</v>
      </c>
      <c r="R80" s="11">
        <f t="shared" si="0"/>
        <v>32971.945440000003</v>
      </c>
    </row>
    <row r="83" spans="1:5" x14ac:dyDescent="0.3">
      <c r="A83" s="6" t="s">
        <v>115</v>
      </c>
      <c r="B83" s="5"/>
      <c r="C83" s="5"/>
      <c r="D83" s="5"/>
      <c r="E83" s="5"/>
    </row>
    <row r="84" spans="1:5" ht="24.6" x14ac:dyDescent="0.3">
      <c r="A84" s="14" t="s">
        <v>116</v>
      </c>
      <c r="B84" s="14" t="s">
        <v>117</v>
      </c>
      <c r="C84" s="13" t="s">
        <v>118</v>
      </c>
      <c r="D84" s="13" t="s">
        <v>119</v>
      </c>
      <c r="E84" s="13" t="s">
        <v>120</v>
      </c>
    </row>
    <row r="85" spans="1:5" x14ac:dyDescent="0.3">
      <c r="A85" s="5" t="s">
        <v>121</v>
      </c>
      <c r="B85" s="8">
        <f>AVERAGE('Membership-Driven (36m)'!C45:'Membership-Driven (36m)'!C47)</f>
        <v>105.08333333333333</v>
      </c>
      <c r="C85" s="11">
        <f>SUM('Membership-Driven (36m)'!I45:I47)+SUM('Membership-Driven (36m)'!J45:J47)</f>
        <v>36740.538954000003</v>
      </c>
      <c r="D85" s="11">
        <f>SUM('Membership-Driven (36m)'!N45:N47)+SUM('Membership-Driven (36m)'!Q45:Q47)</f>
        <v>48234.960000000006</v>
      </c>
      <c r="E85" s="11">
        <f>SUM('Membership-Driven (36m)'!R45:R47)</f>
        <v>84975.49895400001</v>
      </c>
    </row>
    <row r="86" spans="1:5" x14ac:dyDescent="0.3">
      <c r="A86" s="5" t="s">
        <v>122</v>
      </c>
      <c r="B86" s="8">
        <f>AVERAGE('Membership-Driven (36m)'!C48:'Membership-Driven (36m)'!C50)</f>
        <v>121.64709375000001</v>
      </c>
      <c r="C86" s="11">
        <f>SUM('Membership-Driven (36m)'!I48:I50)+SUM('Membership-Driven (36m)'!J48:J50)</f>
        <v>18371.716874437501</v>
      </c>
      <c r="D86" s="11">
        <f>SUM('Membership-Driven (36m)'!N48:N50)+SUM('Membership-Driven (36m)'!Q48:Q50)</f>
        <v>43646.400000000001</v>
      </c>
      <c r="E86" s="11">
        <f>SUM('Membership-Driven (36m)'!R48:R50)</f>
        <v>62018.116874437503</v>
      </c>
    </row>
    <row r="87" spans="1:5" x14ac:dyDescent="0.3">
      <c r="A87" s="5" t="s">
        <v>123</v>
      </c>
      <c r="B87" s="8">
        <f>AVERAGE('Membership-Driven (36m)'!C51:'Membership-Driven (36m)'!C53)</f>
        <v>140.82171690234381</v>
      </c>
      <c r="C87" s="11">
        <f>SUM('Membership-Driven (36m)'!I51:I53)+SUM('Membership-Driven (36m)'!J51:J53)</f>
        <v>20183.862435172741</v>
      </c>
      <c r="D87" s="11">
        <f>SUM('Membership-Driven (36m)'!N51:N53)+SUM('Membership-Driven (36m)'!Q51:Q53)</f>
        <v>43646.400000000001</v>
      </c>
      <c r="E87" s="11">
        <f>SUM('Membership-Driven (36m)'!R51:R53)</f>
        <v>63830.262435172743</v>
      </c>
    </row>
    <row r="88" spans="1:5" x14ac:dyDescent="0.3">
      <c r="A88" s="5" t="s">
        <v>124</v>
      </c>
      <c r="B88" s="8">
        <f>AVERAGE('Membership-Driven (36m)'!C54:'Membership-Driven (36m)'!C56)</f>
        <v>163.01874002907576</v>
      </c>
      <c r="C88" s="11">
        <f>SUM('Membership-Driven (36m)'!I54:I56)+SUM('Membership-Driven (36m)'!J54:J56)</f>
        <v>30590.779975339217</v>
      </c>
      <c r="D88" s="11">
        <f>SUM('Membership-Driven (36m)'!N54:N56)+SUM('Membership-Driven (36m)'!Q54:Q56)</f>
        <v>43646.400000000001</v>
      </c>
      <c r="E88" s="11">
        <f>SUM('Membership-Driven (36m)'!R54:R56)</f>
        <v>74237.179975339212</v>
      </c>
    </row>
    <row r="89" spans="1:5" x14ac:dyDescent="0.3">
      <c r="A89" s="5" t="s">
        <v>125</v>
      </c>
      <c r="B89" s="8">
        <f>AVERAGE('Membership-Driven (36m)'!C57:'Membership-Driven (36m)'!C59)</f>
        <v>188.71456892615888</v>
      </c>
      <c r="C89" s="11">
        <f>SUM('Membership-Driven (36m)'!I57:I59)+SUM('Membership-Driven (36m)'!J57:J59)</f>
        <v>33990.145648891084</v>
      </c>
      <c r="D89" s="11">
        <f>SUM('Membership-Driven (36m)'!N57:N59)+SUM('Membership-Driven (36m)'!Q57:Q59)</f>
        <v>43646.400000000001</v>
      </c>
      <c r="E89" s="11">
        <f>SUM('Membership-Driven (36m)'!R57:R59)</f>
        <v>77636.545648891086</v>
      </c>
    </row>
    <row r="90" spans="1:5" x14ac:dyDescent="0.3">
      <c r="A90" s="5" t="s">
        <v>126</v>
      </c>
      <c r="B90" s="8">
        <f>AVERAGE('Membership-Driven (36m)'!C60:'Membership-Driven (36m)'!C62)</f>
        <v>218.46070285314468</v>
      </c>
      <c r="C90" s="11">
        <f>SUM('Membership-Driven (36m)'!I60:I62)+SUM('Membership-Driven (36m)'!J60:J62)</f>
        <v>27128.093231386199</v>
      </c>
      <c r="D90" s="11">
        <f>SUM('Membership-Driven (36m)'!N60:N62)+SUM('Membership-Driven (36m)'!Q60:Q62)</f>
        <v>43646.400000000001</v>
      </c>
      <c r="E90" s="11">
        <f>SUM('Membership-Driven (36m)'!R60:R62)</f>
        <v>70774.493231386208</v>
      </c>
    </row>
    <row r="91" spans="1:5" x14ac:dyDescent="0.3">
      <c r="A91" s="5" t="s">
        <v>127</v>
      </c>
      <c r="B91" s="8">
        <f>AVERAGE('Membership-Driven (36m)'!C63:'Membership-Driven (36m)'!C65)</f>
        <v>252.89557114037166</v>
      </c>
      <c r="C91" s="11">
        <f>SUM('Membership-Driven (36m)'!I63:I65)+SUM('Membership-Driven (36m)'!J63:J65)</f>
        <v>30382.446300305499</v>
      </c>
      <c r="D91" s="11">
        <f>SUM('Membership-Driven (36m)'!N63:N65)+SUM('Membership-Driven (36m)'!Q63:Q65)</f>
        <v>43646.400000000001</v>
      </c>
      <c r="E91" s="11">
        <f>SUM('Membership-Driven (36m)'!R63:R65)</f>
        <v>74028.846300305508</v>
      </c>
    </row>
    <row r="92" spans="1:5" x14ac:dyDescent="0.3">
      <c r="A92" s="5" t="s">
        <v>128</v>
      </c>
      <c r="B92" s="8">
        <f>AVERAGE('Membership-Driven (36m)'!C66:'Membership-Driven (36m)'!C68)</f>
        <v>292.75823554137276</v>
      </c>
      <c r="C92" s="11">
        <f>SUM('Membership-Driven (36m)'!I66:I68)+SUM('Membership-Driven (36m)'!J66:J68)</f>
        <v>47958.829932465465</v>
      </c>
      <c r="D92" s="11">
        <f>SUM('Membership-Driven (36m)'!N66:N68)+SUM('Membership-Driven (36m)'!Q66:Q68)</f>
        <v>43646.400000000001</v>
      </c>
      <c r="E92" s="11">
        <f>SUM('Membership-Driven (36m)'!R66:R68)</f>
        <v>91605.229932465474</v>
      </c>
    </row>
    <row r="93" spans="1:5" x14ac:dyDescent="0.3">
      <c r="A93" s="5" t="s">
        <v>129</v>
      </c>
      <c r="B93" s="8">
        <f>AVERAGE('Membership-Driven (36m)'!C69:'Membership-Driven (36m)'!C71)</f>
        <v>338.90425241858168</v>
      </c>
      <c r="C93" s="11">
        <f>SUM('Membership-Driven (36m)'!I69:I71)+SUM('Membership-Driven (36m)'!J69:J71)</f>
        <v>52902.566302039129</v>
      </c>
      <c r="D93" s="11">
        <f>SUM('Membership-Driven (36m)'!N69:N71)+SUM('Membership-Driven (36m)'!Q69:Q71)</f>
        <v>43646.400000000001</v>
      </c>
      <c r="E93" s="11">
        <f>SUM('Membership-Driven (36m)'!R69:R71)</f>
        <v>96548.966302039131</v>
      </c>
    </row>
    <row r="94" spans="1:5" x14ac:dyDescent="0.3">
      <c r="A94" s="5" t="s">
        <v>130</v>
      </c>
      <c r="B94" s="8">
        <f>AVERAGE('Membership-Driven (36m)'!C72:'Membership-Driven (36m)'!C74)</f>
        <v>392.32403520606067</v>
      </c>
      <c r="C94" s="11">
        <f>SUM('Membership-Driven (36m)'!I72:I74)+SUM('Membership-Driven (36m)'!J72:J74)</f>
        <v>42853.287105043128</v>
      </c>
      <c r="D94" s="11">
        <f>SUM('Membership-Driven (36m)'!N72:N74)+SUM('Membership-Driven (36m)'!Q72:Q74)</f>
        <v>43646.400000000001</v>
      </c>
      <c r="E94" s="11">
        <f>SUM('Membership-Driven (36m)'!R72:R74)</f>
        <v>86499.687105043136</v>
      </c>
    </row>
    <row r="95" spans="1:5" x14ac:dyDescent="0.3">
      <c r="A95" s="5" t="s">
        <v>131</v>
      </c>
      <c r="B95" s="8">
        <f>AVERAGE('Membership-Driven (36m)'!C75:'Membership-Driven (36m)'!C77)</f>
        <v>454.164111255416</v>
      </c>
      <c r="C95" s="11">
        <f>SUM('Membership-Driven (36m)'!I75:I77)+SUM('Membership-Driven (36m)'!J75:J77)</f>
        <v>48697.637650971381</v>
      </c>
      <c r="D95" s="11">
        <f>SUM('Membership-Driven (36m)'!N75:N77)+SUM('Membership-Driven (36m)'!Q75:Q77)</f>
        <v>43646.400000000001</v>
      </c>
      <c r="E95" s="11">
        <f>SUM('Membership-Driven (36m)'!R75:R77)</f>
        <v>92344.037650971382</v>
      </c>
    </row>
    <row r="96" spans="1:5" x14ac:dyDescent="0.3">
      <c r="A96" s="5" t="s">
        <v>132</v>
      </c>
      <c r="B96" s="8">
        <f>AVERAGE('Membership-Driven (36m)'!C78:'Membership-Driven (36m)'!C80)</f>
        <v>525.75172929205098</v>
      </c>
      <c r="C96" s="11">
        <f>SUM('Membership-Driven (36m)'!I78:I80)+SUM('Membership-Driven (36m)'!J78:J80)</f>
        <v>55269.436320000001</v>
      </c>
      <c r="D96" s="11">
        <f>SUM('Membership-Driven (36m)'!N78:N80)+SUM('Membership-Driven (36m)'!Q78:Q80)</f>
        <v>43646.400000000001</v>
      </c>
      <c r="E96" s="11">
        <f>SUM('Membership-Driven (36m)'!R78:R80)</f>
        <v>98915.836320000002</v>
      </c>
    </row>
    <row r="97" spans="1:5" x14ac:dyDescent="0.3">
      <c r="A97" s="5"/>
      <c r="B97" s="5"/>
      <c r="C97" s="5"/>
      <c r="D97" s="5"/>
      <c r="E97" s="5"/>
    </row>
    <row r="98" spans="1:5" x14ac:dyDescent="0.3">
      <c r="A98" s="6" t="s">
        <v>133</v>
      </c>
      <c r="B98" s="5"/>
      <c r="C98" s="5"/>
      <c r="D98" s="5"/>
      <c r="E98" s="5"/>
    </row>
    <row r="99" spans="1:5" ht="24.6" x14ac:dyDescent="0.3">
      <c r="A99" s="14" t="s">
        <v>134</v>
      </c>
      <c r="B99" s="14" t="s">
        <v>117</v>
      </c>
      <c r="C99" s="13" t="s">
        <v>118</v>
      </c>
      <c r="D99" s="13" t="s">
        <v>119</v>
      </c>
      <c r="E99" s="13" t="s">
        <v>120</v>
      </c>
    </row>
    <row r="100" spans="1:5" x14ac:dyDescent="0.3">
      <c r="A100" s="5" t="s">
        <v>135</v>
      </c>
      <c r="B100" s="8">
        <f>AVERAGE(C45:C56)</f>
        <v>132.64272100368822</v>
      </c>
      <c r="C100" s="11">
        <f>SUM(I45:I56)+SUM(J45:J56)</f>
        <v>105886.89823894946</v>
      </c>
      <c r="D100" s="11">
        <f>SUM(N45:N56)+SUM(P45:P56)</f>
        <v>168467.52</v>
      </c>
      <c r="E100" s="11">
        <f>SUM(R45:R56)</f>
        <v>285061.05823894945</v>
      </c>
    </row>
    <row r="101" spans="1:5" x14ac:dyDescent="0.3">
      <c r="A101" s="5" t="s">
        <v>136</v>
      </c>
      <c r="B101" s="8">
        <f>AVERAGE(C57:C68)</f>
        <v>238.20726961526202</v>
      </c>
      <c r="C101" s="11">
        <f>SUM(I57:I68)+SUM(J57:J68)</f>
        <v>139459.51511304823</v>
      </c>
      <c r="D101" s="11">
        <f>SUM(N57:N68)+SUM(P57:P68)</f>
        <v>174585.59999999998</v>
      </c>
      <c r="E101" s="11">
        <f>SUM(R57:R68)</f>
        <v>314045.11511304823</v>
      </c>
    </row>
    <row r="102" spans="1:5" x14ac:dyDescent="0.3">
      <c r="A102" s="5" t="s">
        <v>137</v>
      </c>
      <c r="B102" s="8">
        <f>AVERAGE(C69:C80)</f>
        <v>427.78603204302732</v>
      </c>
      <c r="C102" s="11">
        <f>SUM(I69:I80)+SUM(J69:J80)</f>
        <v>199722.92737805363</v>
      </c>
      <c r="D102" s="11">
        <f>SUM(N69:N80)+SUM(P69:P80)</f>
        <v>174585.59999999998</v>
      </c>
      <c r="E102" s="11">
        <f>SUM(R69:R80)</f>
        <v>374308.52737805358</v>
      </c>
    </row>
  </sheetData>
  <mergeCells count="2">
    <mergeCell ref="A1:R1"/>
    <mergeCell ref="A2:R2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Membership-Driven (36m)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Osman Javaid</dc:creator>
  <cp:lastModifiedBy>Osman Javaid</cp:lastModifiedBy>
  <dcterms:created xsi:type="dcterms:W3CDTF">2025-11-11T22:42:00Z</dcterms:created>
  <dcterms:modified xsi:type="dcterms:W3CDTF">2025-11-12T03:27:03Z</dcterms:modified>
</cp:coreProperties>
</file>