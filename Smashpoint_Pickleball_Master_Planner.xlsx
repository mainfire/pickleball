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0a8bfcd2586657/Documents/Smashpoint Pickleball/"/>
    </mc:Choice>
  </mc:AlternateContent>
  <xr:revisionPtr revIDLastSave="600" documentId="8_{E2D2F1E6-53B1-437F-B670-15C5E66D572E}" xr6:coauthVersionLast="47" xr6:coauthVersionMax="47" xr10:uidLastSave="{EC3A12DE-570E-4126-8581-64A7151AD5FD}"/>
  <bookViews>
    <workbookView xWindow="-105" yWindow="0" windowWidth="29010" windowHeight="15585" tabRatio="784" activeTab="1" xr2:uid="{00000000-000D-0000-FFFF-FFFF00000000}"/>
  </bookViews>
  <sheets>
    <sheet name="Assumptions" sheetId="1" r:id="rId1"/>
    <sheet name="CapEx &amp; Sources" sheetId="2" r:id="rId2"/>
    <sheet name="Financing" sheetId="3" r:id="rId3"/>
    <sheet name="Memberships Revenue" sheetId="14" r:id="rId4"/>
    <sheet name="Court Revenue (36m)" sheetId="16" r:id="rId5"/>
    <sheet name="Revenue Model" sheetId="4" r:id="rId6"/>
    <sheet name="Staffing &amp; Payroll" sheetId="5" r:id="rId7"/>
    <sheet name="OPEX" sheetId="6" r:id="rId8"/>
    <sheet name="P&amp;L (36m)" sheetId="7" r:id="rId9"/>
    <sheet name="Cash Flow" sheetId="8" r:id="rId10"/>
    <sheet name="KPIs" sheetId="9" r:id="rId11"/>
    <sheet name="Maintenance &amp; Safety" sheetId="10" r:id="rId12"/>
    <sheet name="Events &amp; Leagues" sheetId="11" r:id="rId13"/>
    <sheet name="README + Links" sheetId="12" r:id="rId14"/>
    <sheet name="Court Revenue OLD" sheetId="15" r:id="rId15"/>
  </sheets>
  <definedNames>
    <definedName name="CafeCOGS">Assumptions!B27</definedName>
    <definedName name="CafeGross">Assumptions!B26</definedName>
    <definedName name="CafeHrs">Assumptions!B32</definedName>
    <definedName name="CafeWage">Assumptions!B33</definedName>
    <definedName name="Cleaning">Assumptions!B39</definedName>
    <definedName name="CoachHrs">Assumptions!B30</definedName>
    <definedName name="CoachWage">Assumptions!B31</definedName>
    <definedName name="DaysOpenPerWeek">Assumptions!B9</definedName>
    <definedName name="FrontDeskHrs">Assumptions!B28</definedName>
    <definedName name="FrontDeskWage">Assumptions!B29</definedName>
    <definedName name="HoursOpenPerDay">Assumptions!B10</definedName>
    <definedName name="Insurance">Assumptions!B36</definedName>
    <definedName name="LeagueTeamFee">Assumptions!B22</definedName>
    <definedName name="LeagueTeams">Assumptions!B21</definedName>
    <definedName name="LessonRate">Assumptions!B20</definedName>
    <definedName name="LessonsPerWeek">Assumptions!B19</definedName>
    <definedName name="LoanAPR">Assumptions!B43</definedName>
    <definedName name="LoanPrincipal">Assumptions!B42</definedName>
    <definedName name="LoanTerm">Assumptions!B44</definedName>
    <definedName name="Marketing">Assumptions!B37</definedName>
    <definedName name="Members">Assumptions!B17</definedName>
    <definedName name="MembershipFee">Assumptions!B18</definedName>
    <definedName name="MiscOpex">Assumptions!B40</definedName>
    <definedName name="MonthlyCOGS">OPEX!$E$6</definedName>
    <definedName name="MonthlyDebtService">Financing!$I$3</definedName>
    <definedName name="MonthlyOpex">OPEX!$B$11</definedName>
    <definedName name="MonthlyPayroll">'Staffing &amp; Payroll'!$E$7</definedName>
    <definedName name="NumCourts">Assumptions!B8</definedName>
    <definedName name="OpeningCash">Assumptions!B41</definedName>
    <definedName name="PeakHoursShare">Assumptions!B11</definedName>
    <definedName name="RateOffPeak">Assumptions!B15</definedName>
    <definedName name="RatePeak">Assumptions!B14</definedName>
    <definedName name="Rent">Assumptions!B34</definedName>
    <definedName name="RetailCOGS">Assumptions!B25</definedName>
    <definedName name="RetailGross">Assumptions!B24</definedName>
    <definedName name="SeasonsPerYear">Assumptions!B23</definedName>
    <definedName name="Software">Assumptions!B38</definedName>
    <definedName name="TotalCapEx">'CapEx &amp; Sources'!E19</definedName>
    <definedName name="TotalRevenueRange">'Revenue Model'!$I$5:$I$39</definedName>
    <definedName name="TurnTimeMin">Assumptions!B16</definedName>
    <definedName name="Utilities">Assumptions!B35</definedName>
    <definedName name="UtilOffPeak">Assumptions!B13</definedName>
    <definedName name="UtilPeak">Assumptions!B12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C45" i="7"/>
  <c r="C44" i="7"/>
  <c r="E52" i="4"/>
  <c r="F52" i="4"/>
  <c r="G52" i="4"/>
  <c r="H52" i="4"/>
  <c r="E49" i="4"/>
  <c r="F49" i="4"/>
  <c r="G49" i="4"/>
  <c r="H49" i="4"/>
  <c r="E50" i="4"/>
  <c r="F50" i="4"/>
  <c r="G50" i="4"/>
  <c r="H50" i="4"/>
  <c r="E51" i="4"/>
  <c r="F51" i="4"/>
  <c r="G51" i="4"/>
  <c r="H51" i="4"/>
  <c r="E41" i="4"/>
  <c r="F41" i="4"/>
  <c r="G41" i="4"/>
  <c r="H41" i="4"/>
  <c r="E42" i="4"/>
  <c r="F42" i="4"/>
  <c r="G42" i="4"/>
  <c r="H42" i="4"/>
  <c r="E43" i="4"/>
  <c r="F43" i="4"/>
  <c r="G43" i="4"/>
  <c r="H43" i="4"/>
  <c r="E44" i="4"/>
  <c r="F44" i="4"/>
  <c r="G44" i="4"/>
  <c r="H44" i="4"/>
  <c r="E45" i="4"/>
  <c r="F45" i="4"/>
  <c r="G45" i="4"/>
  <c r="H45" i="4"/>
  <c r="E46" i="4"/>
  <c r="F46" i="4"/>
  <c r="G46" i="4"/>
  <c r="H46" i="4"/>
  <c r="E47" i="4"/>
  <c r="F47" i="4"/>
  <c r="G47" i="4"/>
  <c r="H47" i="4"/>
  <c r="E48" i="4"/>
  <c r="F48" i="4"/>
  <c r="G48" i="4"/>
  <c r="H48" i="4"/>
  <c r="F40" i="8"/>
  <c r="D39" i="14"/>
  <c r="E39" i="14"/>
  <c r="C39" i="14"/>
  <c r="B39" i="14"/>
  <c r="G39" i="14" s="1"/>
  <c r="B8" i="16"/>
  <c r="F52" i="14"/>
  <c r="D40" i="14"/>
  <c r="B81" i="16"/>
  <c r="B82" i="16"/>
  <c r="B83" i="16"/>
  <c r="B84" i="16"/>
  <c r="B85" i="16"/>
  <c r="B86" i="16"/>
  <c r="B87" i="16"/>
  <c r="B88" i="16"/>
  <c r="B89" i="16"/>
  <c r="B90" i="16"/>
  <c r="B91" i="16"/>
  <c r="B92" i="16"/>
  <c r="B13" i="16"/>
  <c r="B12" i="16"/>
  <c r="B6" i="16"/>
  <c r="B5" i="16"/>
  <c r="B21" i="16"/>
  <c r="B20" i="16"/>
  <c r="C45" i="16" s="1"/>
  <c r="B30" i="16"/>
  <c r="B31" i="16" s="1"/>
  <c r="F30" i="16"/>
  <c r="F31" i="16"/>
  <c r="B33" i="16"/>
  <c r="F34" i="16"/>
  <c r="F35" i="16"/>
  <c r="B39" i="16"/>
  <c r="B40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C40" i="14"/>
  <c r="E37" i="15"/>
  <c r="F13" i="15"/>
  <c r="B24" i="15"/>
  <c r="B44" i="15" s="1"/>
  <c r="C44" i="15" s="1"/>
  <c r="B25" i="15"/>
  <c r="B35" i="15" s="1"/>
  <c r="B26" i="15"/>
  <c r="C35" i="15" s="1"/>
  <c r="B27" i="15"/>
  <c r="B28" i="15"/>
  <c r="B29" i="15"/>
  <c r="B30" i="15"/>
  <c r="B31" i="15"/>
  <c r="D43" i="15"/>
  <c r="E43" i="15"/>
  <c r="D44" i="15"/>
  <c r="E44" i="15"/>
  <c r="B16" i="14"/>
  <c r="B41" i="14" s="1"/>
  <c r="D42" i="14"/>
  <c r="D41" i="14"/>
  <c r="D38" i="14"/>
  <c r="D37" i="14"/>
  <c r="D36" i="14"/>
  <c r="C42" i="14"/>
  <c r="C41" i="14"/>
  <c r="C38" i="14"/>
  <c r="C37" i="14"/>
  <c r="C36" i="14"/>
  <c r="E36" i="14"/>
  <c r="E37" i="14"/>
  <c r="E38" i="14"/>
  <c r="E40" i="14"/>
  <c r="E41" i="14"/>
  <c r="E42" i="14"/>
  <c r="A47" i="14"/>
  <c r="B47" i="14"/>
  <c r="E52" i="14"/>
  <c r="E17" i="2"/>
  <c r="E16" i="2"/>
  <c r="B4" i="9"/>
  <c r="E5" i="6"/>
  <c r="E4" i="6"/>
  <c r="E6" i="6" s="1"/>
  <c r="C6" i="7" s="1"/>
  <c r="B10" i="6"/>
  <c r="B8" i="6"/>
  <c r="B7" i="6"/>
  <c r="B5" i="6"/>
  <c r="C6" i="5"/>
  <c r="C5" i="5"/>
  <c r="C4" i="5"/>
  <c r="B6" i="5"/>
  <c r="D6" i="5" s="1"/>
  <c r="E6" i="5" s="1"/>
  <c r="B5" i="5"/>
  <c r="B4" i="5"/>
  <c r="D4" i="5" s="1"/>
  <c r="C5" i="4"/>
  <c r="F5" i="4"/>
  <c r="E6" i="4"/>
  <c r="F6" i="4"/>
  <c r="G6" i="4"/>
  <c r="H6" i="4"/>
  <c r="E7" i="4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E26" i="4"/>
  <c r="F26" i="4"/>
  <c r="G26" i="4"/>
  <c r="H26" i="4"/>
  <c r="E27" i="4"/>
  <c r="F27" i="4"/>
  <c r="G27" i="4"/>
  <c r="H27" i="4"/>
  <c r="E28" i="4"/>
  <c r="F28" i="4"/>
  <c r="G28" i="4"/>
  <c r="H28" i="4"/>
  <c r="E29" i="4"/>
  <c r="F29" i="4"/>
  <c r="G29" i="4"/>
  <c r="H29" i="4"/>
  <c r="E30" i="4"/>
  <c r="F30" i="4"/>
  <c r="G30" i="4"/>
  <c r="H30" i="4"/>
  <c r="E31" i="4"/>
  <c r="F31" i="4"/>
  <c r="G31" i="4"/>
  <c r="H31" i="4"/>
  <c r="E32" i="4"/>
  <c r="F32" i="4"/>
  <c r="G32" i="4"/>
  <c r="H32" i="4"/>
  <c r="E33" i="4"/>
  <c r="F33" i="4"/>
  <c r="G33" i="4"/>
  <c r="H33" i="4"/>
  <c r="E34" i="4"/>
  <c r="F34" i="4"/>
  <c r="G34" i="4"/>
  <c r="H34" i="4"/>
  <c r="E35" i="4"/>
  <c r="F35" i="4"/>
  <c r="G35" i="4"/>
  <c r="H35" i="4"/>
  <c r="E36" i="4"/>
  <c r="F36" i="4"/>
  <c r="G36" i="4"/>
  <c r="H36" i="4"/>
  <c r="E37" i="4"/>
  <c r="F37" i="4"/>
  <c r="G37" i="4"/>
  <c r="H37" i="4"/>
  <c r="E38" i="4"/>
  <c r="F38" i="4"/>
  <c r="G38" i="4"/>
  <c r="H38" i="4"/>
  <c r="E39" i="4"/>
  <c r="F39" i="4"/>
  <c r="G39" i="4"/>
  <c r="H39" i="4"/>
  <c r="E40" i="4"/>
  <c r="F40" i="4"/>
  <c r="G40" i="4"/>
  <c r="H40" i="4"/>
  <c r="H5" i="4"/>
  <c r="G5" i="4"/>
  <c r="E5" i="4"/>
  <c r="B4" i="3"/>
  <c r="I2" i="3"/>
  <c r="I3" i="3" s="1"/>
  <c r="C89" i="3" s="1"/>
  <c r="H10" i="2"/>
  <c r="H6" i="2"/>
  <c r="E15" i="2"/>
  <c r="E14" i="2"/>
  <c r="E13" i="2"/>
  <c r="E12" i="2"/>
  <c r="E11" i="2"/>
  <c r="E10" i="2"/>
  <c r="E9" i="2"/>
  <c r="E8" i="2"/>
  <c r="E6" i="2"/>
  <c r="E5" i="2"/>
  <c r="E4" i="2"/>
  <c r="C46" i="7" l="1"/>
  <c r="C47" i="7"/>
  <c r="C12" i="7"/>
  <c r="F91" i="16"/>
  <c r="F72" i="16"/>
  <c r="F68" i="16"/>
  <c r="F67" i="16"/>
  <c r="F61" i="16"/>
  <c r="C42" i="7"/>
  <c r="C27" i="7"/>
  <c r="C48" i="7"/>
  <c r="C49" i="7"/>
  <c r="C5" i="7"/>
  <c r="C50" i="7"/>
  <c r="C51" i="7"/>
  <c r="F71" i="16"/>
  <c r="F49" i="16"/>
  <c r="F86" i="16"/>
  <c r="F70" i="16"/>
  <c r="F48" i="16"/>
  <c r="C39" i="7"/>
  <c r="C40" i="7"/>
  <c r="C41" i="7"/>
  <c r="C43" i="7"/>
  <c r="D41" i="8"/>
  <c r="C70" i="3"/>
  <c r="D42" i="8"/>
  <c r="C69" i="3"/>
  <c r="C68" i="3"/>
  <c r="D40" i="8"/>
  <c r="D48" i="8"/>
  <c r="D4" i="8"/>
  <c r="D51" i="8"/>
  <c r="D47" i="8"/>
  <c r="D46" i="8"/>
  <c r="D44" i="8"/>
  <c r="D45" i="8"/>
  <c r="C71" i="3"/>
  <c r="D43" i="8"/>
  <c r="D50" i="8"/>
  <c r="D49" i="8"/>
  <c r="F39" i="14"/>
  <c r="C47" i="14"/>
  <c r="D45" i="16"/>
  <c r="C35" i="7"/>
  <c r="C34" i="7"/>
  <c r="B32" i="16"/>
  <c r="F85" i="16" s="1"/>
  <c r="K45" i="16"/>
  <c r="L45" i="16" s="1"/>
  <c r="C46" i="16"/>
  <c r="K46" i="16" s="1"/>
  <c r="B43" i="15"/>
  <c r="C36" i="15"/>
  <c r="C37" i="15" s="1"/>
  <c r="B36" i="15"/>
  <c r="B37" i="15"/>
  <c r="D35" i="15"/>
  <c r="E35" i="15" s="1"/>
  <c r="F44" i="15"/>
  <c r="B40" i="14"/>
  <c r="F40" i="14" s="1"/>
  <c r="B38" i="14"/>
  <c r="F38" i="14" s="1"/>
  <c r="B37" i="14"/>
  <c r="B36" i="14"/>
  <c r="G36" i="14" s="1"/>
  <c r="B42" i="14"/>
  <c r="F42" i="14" s="1"/>
  <c r="G42" i="14"/>
  <c r="F41" i="14"/>
  <c r="G41" i="14"/>
  <c r="E20" i="2"/>
  <c r="E21" i="2" s="1"/>
  <c r="E22" i="2" s="1"/>
  <c r="C67" i="3"/>
  <c r="C49" i="3"/>
  <c r="C47" i="3"/>
  <c r="C46" i="3"/>
  <c r="C23" i="3"/>
  <c r="C9" i="3"/>
  <c r="C114" i="3"/>
  <c r="C111" i="3"/>
  <c r="C112" i="3"/>
  <c r="C48" i="3"/>
  <c r="C45" i="3"/>
  <c r="C24" i="3"/>
  <c r="C113" i="3"/>
  <c r="C93" i="3"/>
  <c r="C92" i="3"/>
  <c r="C91" i="3"/>
  <c r="C90" i="3"/>
  <c r="C13" i="7"/>
  <c r="C20" i="7"/>
  <c r="C19" i="7"/>
  <c r="C11" i="7"/>
  <c r="C25" i="7"/>
  <c r="C10" i="7"/>
  <c r="C17" i="7"/>
  <c r="C31" i="7"/>
  <c r="C23" i="7"/>
  <c r="C30" i="7"/>
  <c r="C8" i="7"/>
  <c r="C22" i="7"/>
  <c r="C29" i="7"/>
  <c r="C7" i="7"/>
  <c r="C33" i="7"/>
  <c r="C18" i="7"/>
  <c r="C38" i="7"/>
  <c r="C37" i="7"/>
  <c r="C14" i="7"/>
  <c r="C21" i="7"/>
  <c r="C26" i="7"/>
  <c r="C32" i="7"/>
  <c r="C24" i="7"/>
  <c r="C9" i="7"/>
  <c r="C16" i="7"/>
  <c r="C15" i="7"/>
  <c r="C36" i="7"/>
  <c r="C28" i="7"/>
  <c r="C6" i="4"/>
  <c r="C28" i="3"/>
  <c r="C50" i="3"/>
  <c r="C72" i="3"/>
  <c r="C94" i="3"/>
  <c r="C116" i="3"/>
  <c r="C30" i="3"/>
  <c r="C52" i="3"/>
  <c r="C74" i="3"/>
  <c r="C96" i="3"/>
  <c r="C31" i="3"/>
  <c r="C53" i="3"/>
  <c r="C75" i="3"/>
  <c r="C97" i="3"/>
  <c r="C119" i="3"/>
  <c r="C32" i="3"/>
  <c r="C120" i="3"/>
  <c r="C11" i="3"/>
  <c r="C33" i="3"/>
  <c r="C55" i="3"/>
  <c r="C77" i="3"/>
  <c r="C99" i="3"/>
  <c r="C121" i="3"/>
  <c r="C13" i="3"/>
  <c r="C35" i="3"/>
  <c r="C79" i="3"/>
  <c r="C101" i="3"/>
  <c r="C123" i="3"/>
  <c r="C14" i="3"/>
  <c r="C58" i="3"/>
  <c r="C102" i="3"/>
  <c r="C15" i="3"/>
  <c r="C59" i="3"/>
  <c r="C103" i="3"/>
  <c r="C16" i="3"/>
  <c r="C38" i="3"/>
  <c r="C60" i="3"/>
  <c r="C82" i="3"/>
  <c r="C104" i="3"/>
  <c r="C17" i="3"/>
  <c r="C61" i="3"/>
  <c r="C105" i="3"/>
  <c r="C41" i="3"/>
  <c r="C63" i="3"/>
  <c r="C85" i="3"/>
  <c r="C107" i="3"/>
  <c r="C42" i="3"/>
  <c r="C64" i="3"/>
  <c r="C86" i="3"/>
  <c r="C21" i="3"/>
  <c r="C43" i="3"/>
  <c r="C65" i="3"/>
  <c r="C87" i="3"/>
  <c r="C109" i="3"/>
  <c r="C8" i="3"/>
  <c r="C44" i="3"/>
  <c r="C66" i="3"/>
  <c r="C88" i="3"/>
  <c r="C110" i="3"/>
  <c r="C29" i="3"/>
  <c r="C51" i="3"/>
  <c r="C73" i="3"/>
  <c r="C95" i="3"/>
  <c r="C117" i="3"/>
  <c r="C118" i="3"/>
  <c r="C10" i="3"/>
  <c r="C54" i="3"/>
  <c r="C76" i="3"/>
  <c r="C98" i="3"/>
  <c r="C6" i="3"/>
  <c r="C12" i="3"/>
  <c r="C34" i="3"/>
  <c r="C56" i="3"/>
  <c r="C78" i="3"/>
  <c r="C100" i="3"/>
  <c r="C122" i="3"/>
  <c r="C57" i="3"/>
  <c r="C36" i="3"/>
  <c r="C80" i="3"/>
  <c r="C37" i="3"/>
  <c r="C81" i="3"/>
  <c r="C7" i="3"/>
  <c r="C39" i="3"/>
  <c r="C83" i="3"/>
  <c r="C5" i="3"/>
  <c r="C18" i="3"/>
  <c r="C40" i="3"/>
  <c r="C62" i="3"/>
  <c r="C84" i="3"/>
  <c r="C106" i="3"/>
  <c r="C19" i="3"/>
  <c r="C20" i="3"/>
  <c r="C108" i="3"/>
  <c r="C22" i="3"/>
  <c r="C27" i="3"/>
  <c r="D4" i="3"/>
  <c r="C26" i="3"/>
  <c r="C115" i="3"/>
  <c r="C25" i="3"/>
  <c r="E4" i="5"/>
  <c r="C4" i="7"/>
  <c r="B11" i="6"/>
  <c r="D5" i="5"/>
  <c r="E5" i="5" s="1"/>
  <c r="F87" i="16" l="1"/>
  <c r="F51" i="16"/>
  <c r="F62" i="16"/>
  <c r="F54" i="16"/>
  <c r="F63" i="16"/>
  <c r="F82" i="16"/>
  <c r="F74" i="16"/>
  <c r="F90" i="16"/>
  <c r="F75" i="16"/>
  <c r="F47" i="16"/>
  <c r="F59" i="16"/>
  <c r="F50" i="16"/>
  <c r="F88" i="16"/>
  <c r="F60" i="16"/>
  <c r="F73" i="16"/>
  <c r="F89" i="16"/>
  <c r="F52" i="16"/>
  <c r="F81" i="16"/>
  <c r="F76" i="16"/>
  <c r="F53" i="16"/>
  <c r="F77" i="16"/>
  <c r="F64" i="16"/>
  <c r="F56" i="16"/>
  <c r="F83" i="16"/>
  <c r="E50" i="7"/>
  <c r="E49" i="7"/>
  <c r="E48" i="7"/>
  <c r="E47" i="7"/>
  <c r="E46" i="7"/>
  <c r="E45" i="7"/>
  <c r="E43" i="7"/>
  <c r="E41" i="7"/>
  <c r="E51" i="7"/>
  <c r="E44" i="7"/>
  <c r="E42" i="7"/>
  <c r="E40" i="7"/>
  <c r="F65" i="16"/>
  <c r="F92" i="16"/>
  <c r="F57" i="16"/>
  <c r="F84" i="16"/>
  <c r="F55" i="16"/>
  <c r="F58" i="16"/>
  <c r="F66" i="16"/>
  <c r="F80" i="16"/>
  <c r="F78" i="16"/>
  <c r="F69" i="16"/>
  <c r="F79" i="16"/>
  <c r="F38" i="16"/>
  <c r="F45" i="16"/>
  <c r="F41" i="16"/>
  <c r="F42" i="16" s="1"/>
  <c r="F46" i="16"/>
  <c r="C47" i="16"/>
  <c r="K47" i="16" s="1"/>
  <c r="D46" i="16"/>
  <c r="L46" i="16"/>
  <c r="M45" i="16"/>
  <c r="N45" i="16" s="1"/>
  <c r="O45" i="16"/>
  <c r="P45" i="16" s="1"/>
  <c r="Q45" i="16" s="1"/>
  <c r="D36" i="15"/>
  <c r="E36" i="15"/>
  <c r="B45" i="15"/>
  <c r="B54" i="15" s="1"/>
  <c r="C43" i="15"/>
  <c r="D37" i="15"/>
  <c r="F35" i="15"/>
  <c r="F36" i="14"/>
  <c r="G38" i="14"/>
  <c r="G40" i="14"/>
  <c r="B43" i="14"/>
  <c r="G52" i="14" s="1"/>
  <c r="H52" i="14" s="1"/>
  <c r="F37" i="14"/>
  <c r="G37" i="14"/>
  <c r="H9" i="2"/>
  <c r="H11" i="2" s="1"/>
  <c r="H5" i="2" s="1"/>
  <c r="H14" i="2" s="1"/>
  <c r="F4" i="8"/>
  <c r="E18" i="7"/>
  <c r="E37" i="7"/>
  <c r="E34" i="7"/>
  <c r="E19" i="7"/>
  <c r="E38" i="7"/>
  <c r="E21" i="7"/>
  <c r="E8" i="7"/>
  <c r="E9" i="7"/>
  <c r="E10" i="7"/>
  <c r="E33" i="7"/>
  <c r="E13" i="7"/>
  <c r="E15" i="7"/>
  <c r="E35" i="7"/>
  <c r="E17" i="7"/>
  <c r="E20" i="7"/>
  <c r="E39" i="7"/>
  <c r="E28" i="7"/>
  <c r="E29" i="7"/>
  <c r="E30" i="7"/>
  <c r="E31" i="7"/>
  <c r="E12" i="7"/>
  <c r="E14" i="7"/>
  <c r="E16" i="7"/>
  <c r="E36" i="7"/>
  <c r="E22" i="7"/>
  <c r="E23" i="7"/>
  <c r="E24" i="7"/>
  <c r="E5" i="7"/>
  <c r="E26" i="7"/>
  <c r="E6" i="7"/>
  <c r="E7" i="7"/>
  <c r="E27" i="7"/>
  <c r="E25" i="7"/>
  <c r="E11" i="7"/>
  <c r="E32" i="7"/>
  <c r="G4" i="7"/>
  <c r="C7" i="4"/>
  <c r="D7" i="5"/>
  <c r="E7" i="5"/>
  <c r="E4" i="7"/>
  <c r="D29" i="8"/>
  <c r="D18" i="8"/>
  <c r="D7" i="8"/>
  <c r="D36" i="8"/>
  <c r="D25" i="8"/>
  <c r="D14" i="8"/>
  <c r="D32" i="8"/>
  <c r="D21" i="8"/>
  <c r="D10" i="8"/>
  <c r="D31" i="8"/>
  <c r="D22" i="8"/>
  <c r="D35" i="8"/>
  <c r="D16" i="8"/>
  <c r="D12" i="8"/>
  <c r="D26" i="8"/>
  <c r="D6" i="8"/>
  <c r="D24" i="8"/>
  <c r="D15" i="8"/>
  <c r="D34" i="8"/>
  <c r="D27" i="8"/>
  <c r="D19" i="8"/>
  <c r="D11" i="8"/>
  <c r="D33" i="8"/>
  <c r="D39" i="8"/>
  <c r="D30" i="8"/>
  <c r="C4" i="3"/>
  <c r="E4" i="3" s="1"/>
  <c r="F4" i="3" s="1"/>
  <c r="B5" i="3" s="1"/>
  <c r="D20" i="8"/>
  <c r="D8" i="8"/>
  <c r="D28" i="8"/>
  <c r="D13" i="8"/>
  <c r="D9" i="8"/>
  <c r="D17" i="8"/>
  <c r="D5" i="8"/>
  <c r="D38" i="8"/>
  <c r="D37" i="8"/>
  <c r="D23" i="8"/>
  <c r="D41" i="7" l="1"/>
  <c r="D40" i="7"/>
  <c r="D38" i="7"/>
  <c r="D44" i="7"/>
  <c r="D50" i="7"/>
  <c r="D49" i="7"/>
  <c r="D48" i="7"/>
  <c r="D47" i="7"/>
  <c r="D51" i="7"/>
  <c r="D46" i="7"/>
  <c r="D45" i="7"/>
  <c r="D43" i="7"/>
  <c r="D42" i="7"/>
  <c r="E46" i="16"/>
  <c r="G46" i="16" s="1"/>
  <c r="E45" i="16"/>
  <c r="G45" i="16" s="1"/>
  <c r="O46" i="16"/>
  <c r="P46" i="16" s="1"/>
  <c r="Q46" i="16" s="1"/>
  <c r="M46" i="16"/>
  <c r="N46" i="16" s="1"/>
  <c r="D47" i="16"/>
  <c r="E47" i="16" s="1"/>
  <c r="G47" i="16" s="1"/>
  <c r="C48" i="16"/>
  <c r="K48" i="16" s="1"/>
  <c r="L47" i="16"/>
  <c r="B96" i="16"/>
  <c r="F43" i="15"/>
  <c r="C45" i="15"/>
  <c r="F36" i="15"/>
  <c r="F37" i="15"/>
  <c r="B57" i="15"/>
  <c r="B53" i="15"/>
  <c r="B55" i="15"/>
  <c r="B39" i="15"/>
  <c r="B52" i="15" s="1"/>
  <c r="F43" i="14"/>
  <c r="A52" i="14" s="1"/>
  <c r="G43" i="14"/>
  <c r="B52" i="14" s="1"/>
  <c r="H8" i="2"/>
  <c r="C5" i="8"/>
  <c r="E5" i="8" s="1"/>
  <c r="C4" i="8"/>
  <c r="E4" i="8" s="1"/>
  <c r="D7" i="7"/>
  <c r="D18" i="7"/>
  <c r="D29" i="7"/>
  <c r="D13" i="7"/>
  <c r="D24" i="7"/>
  <c r="D35" i="7"/>
  <c r="D8" i="7"/>
  <c r="D30" i="7"/>
  <c r="D21" i="7"/>
  <c r="D32" i="7"/>
  <c r="D11" i="7"/>
  <c r="D28" i="7"/>
  <c r="D19" i="7"/>
  <c r="D6" i="7"/>
  <c r="D23" i="7"/>
  <c r="D34" i="7"/>
  <c r="D10" i="7"/>
  <c r="D39" i="7"/>
  <c r="D17" i="7"/>
  <c r="D22" i="7"/>
  <c r="D14" i="7"/>
  <c r="D25" i="7"/>
  <c r="D36" i="7"/>
  <c r="D9" i="7"/>
  <c r="D20" i="7"/>
  <c r="D31" i="7"/>
  <c r="D15" i="7"/>
  <c r="D26" i="7"/>
  <c r="D37" i="7"/>
  <c r="D12" i="7"/>
  <c r="D5" i="7"/>
  <c r="D16" i="7"/>
  <c r="D27" i="7"/>
  <c r="D33" i="7"/>
  <c r="C8" i="4"/>
  <c r="D5" i="3"/>
  <c r="G5" i="7" s="1"/>
  <c r="C6" i="8" s="1"/>
  <c r="E6" i="8" s="1"/>
  <c r="D4" i="7"/>
  <c r="H46" i="16" l="1"/>
  <c r="J46" i="16" s="1"/>
  <c r="H45" i="16"/>
  <c r="I45" i="16" s="1"/>
  <c r="M47" i="16"/>
  <c r="N47" i="16" s="1"/>
  <c r="O47" i="16"/>
  <c r="P47" i="16" s="1"/>
  <c r="Q47" i="16" s="1"/>
  <c r="D48" i="16"/>
  <c r="E48" i="16" s="1"/>
  <c r="G48" i="16" s="1"/>
  <c r="L48" i="16"/>
  <c r="C49" i="16"/>
  <c r="K49" i="16" s="1"/>
  <c r="H47" i="16"/>
  <c r="J47" i="16" s="1"/>
  <c r="D52" i="14"/>
  <c r="B17" i="1" s="1"/>
  <c r="D5" i="4" s="1"/>
  <c r="C52" i="14"/>
  <c r="F45" i="15"/>
  <c r="B50" i="15" s="1"/>
  <c r="B58" i="15"/>
  <c r="B56" i="15"/>
  <c r="B49" i="15"/>
  <c r="B51" i="15" s="1"/>
  <c r="C9" i="4"/>
  <c r="E5" i="3"/>
  <c r="F5" i="3" s="1"/>
  <c r="B6" i="3" s="1"/>
  <c r="J45" i="16" l="1"/>
  <c r="D8" i="4"/>
  <c r="I46" i="16"/>
  <c r="R46" i="16" s="1"/>
  <c r="B6" i="4" s="1"/>
  <c r="D7" i="4"/>
  <c r="D6" i="4"/>
  <c r="R45" i="16"/>
  <c r="B5" i="4" s="1"/>
  <c r="B5" i="9" s="1"/>
  <c r="I47" i="16"/>
  <c r="L49" i="16"/>
  <c r="D49" i="16"/>
  <c r="E49" i="16" s="1"/>
  <c r="G49" i="16" s="1"/>
  <c r="C50" i="16"/>
  <c r="K50" i="16" s="1"/>
  <c r="M48" i="16"/>
  <c r="N48" i="16" s="1"/>
  <c r="O48" i="16"/>
  <c r="P48" i="16" s="1"/>
  <c r="Q48" i="16" s="1"/>
  <c r="D96" i="16"/>
  <c r="D9" i="4"/>
  <c r="C10" i="4"/>
  <c r="D6" i="3"/>
  <c r="G6" i="7" s="1"/>
  <c r="I6" i="4" l="1"/>
  <c r="B5" i="7" s="1"/>
  <c r="F5" i="7" s="1"/>
  <c r="H6" i="7" s="1"/>
  <c r="I5" i="4"/>
  <c r="H48" i="16"/>
  <c r="J48" i="16" s="1"/>
  <c r="C51" i="16"/>
  <c r="K51" i="16" s="1"/>
  <c r="D50" i="16"/>
  <c r="E50" i="16" s="1"/>
  <c r="G50" i="16" s="1"/>
  <c r="L50" i="16"/>
  <c r="B97" i="16"/>
  <c r="O49" i="16"/>
  <c r="P49" i="16" s="1"/>
  <c r="Q49" i="16" s="1"/>
  <c r="M49" i="16"/>
  <c r="N49" i="16" s="1"/>
  <c r="R47" i="16"/>
  <c r="B7" i="4" s="1"/>
  <c r="I7" i="4" s="1"/>
  <c r="B6" i="7" s="1"/>
  <c r="F6" i="7" s="1"/>
  <c r="B7" i="8" s="1"/>
  <c r="C96" i="16"/>
  <c r="C7" i="8"/>
  <c r="D10" i="4"/>
  <c r="C11" i="4"/>
  <c r="E6" i="3"/>
  <c r="F6" i="3" s="1"/>
  <c r="B7" i="3" s="1"/>
  <c r="B6" i="8" l="1"/>
  <c r="G6" i="8" s="1"/>
  <c r="B4" i="7"/>
  <c r="F4" i="7" s="1"/>
  <c r="B6" i="9"/>
  <c r="H7" i="7"/>
  <c r="I48" i="16"/>
  <c r="R48" i="16" s="1"/>
  <c r="B8" i="4" s="1"/>
  <c r="I8" i="4" s="1"/>
  <c r="B7" i="7" s="1"/>
  <c r="F7" i="7" s="1"/>
  <c r="B8" i="8" s="1"/>
  <c r="E96" i="16"/>
  <c r="O50" i="16"/>
  <c r="P50" i="16" s="1"/>
  <c r="Q50" i="16" s="1"/>
  <c r="M50" i="16"/>
  <c r="N50" i="16" s="1"/>
  <c r="C52" i="16"/>
  <c r="K52" i="16" s="1"/>
  <c r="D51" i="16"/>
  <c r="E51" i="16" s="1"/>
  <c r="G51" i="16" s="1"/>
  <c r="L51" i="16"/>
  <c r="H49" i="16"/>
  <c r="J49" i="16" s="1"/>
  <c r="H50" i="16"/>
  <c r="J50" i="16" s="1"/>
  <c r="E7" i="8"/>
  <c r="G7" i="8"/>
  <c r="D11" i="4"/>
  <c r="C12" i="4"/>
  <c r="D7" i="3"/>
  <c r="G7" i="7" s="1"/>
  <c r="C8" i="8" s="1"/>
  <c r="B4" i="8" l="1"/>
  <c r="G4" i="8" s="1"/>
  <c r="H4" i="8" s="1"/>
  <c r="B7" i="9"/>
  <c r="H4" i="7"/>
  <c r="H5" i="7"/>
  <c r="B5" i="8"/>
  <c r="G5" i="8" s="1"/>
  <c r="H8" i="7"/>
  <c r="D97" i="16"/>
  <c r="D52" i="16"/>
  <c r="E52" i="16" s="1"/>
  <c r="G52" i="16" s="1"/>
  <c r="L52" i="16"/>
  <c r="C53" i="16"/>
  <c r="K53" i="16" s="1"/>
  <c r="I50" i="16"/>
  <c r="R50" i="16" s="1"/>
  <c r="B10" i="4" s="1"/>
  <c r="I10" i="4" s="1"/>
  <c r="B9" i="7" s="1"/>
  <c r="F9" i="7" s="1"/>
  <c r="B10" i="8" s="1"/>
  <c r="M51" i="16"/>
  <c r="N51" i="16" s="1"/>
  <c r="O51" i="16"/>
  <c r="P51" i="16" s="1"/>
  <c r="Q51" i="16" s="1"/>
  <c r="I49" i="16"/>
  <c r="E8" i="8"/>
  <c r="G8" i="8"/>
  <c r="C13" i="4"/>
  <c r="D12" i="4"/>
  <c r="E7" i="3"/>
  <c r="F7" i="3" s="1"/>
  <c r="B8" i="3" s="1"/>
  <c r="H5" i="8" l="1"/>
  <c r="H6" i="8" s="1"/>
  <c r="H7" i="8" s="1"/>
  <c r="H8" i="8" s="1"/>
  <c r="M52" i="16"/>
  <c r="N52" i="16" s="1"/>
  <c r="O52" i="16"/>
  <c r="P52" i="16" s="1"/>
  <c r="Q52" i="16" s="1"/>
  <c r="R49" i="16"/>
  <c r="B9" i="4" s="1"/>
  <c r="I9" i="4" s="1"/>
  <c r="B8" i="7" s="1"/>
  <c r="F8" i="7" s="1"/>
  <c r="B9" i="8" s="1"/>
  <c r="C97" i="16"/>
  <c r="H51" i="16"/>
  <c r="J51" i="16" s="1"/>
  <c r="L53" i="16"/>
  <c r="D53" i="16"/>
  <c r="E53" i="16" s="1"/>
  <c r="G53" i="16" s="1"/>
  <c r="C54" i="16"/>
  <c r="K54" i="16" s="1"/>
  <c r="B98" i="16"/>
  <c r="C14" i="4"/>
  <c r="D13" i="4"/>
  <c r="D8" i="3"/>
  <c r="G8" i="7" s="1"/>
  <c r="C9" i="8"/>
  <c r="H9" i="7" l="1"/>
  <c r="E97" i="16"/>
  <c r="C55" i="16"/>
  <c r="K55" i="16" s="1"/>
  <c r="L54" i="16"/>
  <c r="D54" i="16"/>
  <c r="E54" i="16" s="1"/>
  <c r="G54" i="16" s="1"/>
  <c r="M53" i="16"/>
  <c r="N53" i="16" s="1"/>
  <c r="O53" i="16"/>
  <c r="P53" i="16" s="1"/>
  <c r="Q53" i="16" s="1"/>
  <c r="H52" i="16"/>
  <c r="J52" i="16" s="1"/>
  <c r="I51" i="16"/>
  <c r="E9" i="8"/>
  <c r="G9" i="8"/>
  <c r="C15" i="4"/>
  <c r="D14" i="4"/>
  <c r="E8" i="3"/>
  <c r="F8" i="3" s="1"/>
  <c r="B9" i="3" s="1"/>
  <c r="O54" i="16" l="1"/>
  <c r="P54" i="16" s="1"/>
  <c r="Q54" i="16" s="1"/>
  <c r="M54" i="16"/>
  <c r="N54" i="16" s="1"/>
  <c r="R51" i="16"/>
  <c r="B11" i="4" s="1"/>
  <c r="I11" i="4" s="1"/>
  <c r="B10" i="7" s="1"/>
  <c r="F10" i="7" s="1"/>
  <c r="B11" i="8" s="1"/>
  <c r="D98" i="16"/>
  <c r="H54" i="16"/>
  <c r="J54" i="16" s="1"/>
  <c r="C56" i="16"/>
  <c r="K56" i="16" s="1"/>
  <c r="D55" i="16"/>
  <c r="E55" i="16" s="1"/>
  <c r="G55" i="16" s="1"/>
  <c r="L55" i="16"/>
  <c r="H53" i="16"/>
  <c r="J53" i="16" s="1"/>
  <c r="I52" i="16"/>
  <c r="R52" i="16" s="1"/>
  <c r="B12" i="4" s="1"/>
  <c r="I12" i="4" s="1"/>
  <c r="B11" i="7" s="1"/>
  <c r="F11" i="7" s="1"/>
  <c r="B12" i="8" s="1"/>
  <c r="H9" i="8"/>
  <c r="C16" i="4"/>
  <c r="D15" i="4"/>
  <c r="D9" i="3"/>
  <c r="G9" i="7" s="1"/>
  <c r="H10" i="7" s="1"/>
  <c r="H55" i="16" l="1"/>
  <c r="J55" i="16" s="1"/>
  <c r="I54" i="16"/>
  <c r="D56" i="16"/>
  <c r="E56" i="16" s="1"/>
  <c r="G56" i="16" s="1"/>
  <c r="C57" i="16"/>
  <c r="K57" i="16" s="1"/>
  <c r="L56" i="16"/>
  <c r="B99" i="16"/>
  <c r="B111" i="16"/>
  <c r="O55" i="16"/>
  <c r="P55" i="16" s="1"/>
  <c r="Q55" i="16" s="1"/>
  <c r="M55" i="16"/>
  <c r="N55" i="16" s="1"/>
  <c r="I53" i="16"/>
  <c r="R53" i="16" s="1"/>
  <c r="C10" i="8"/>
  <c r="C17" i="4"/>
  <c r="D16" i="4"/>
  <c r="E9" i="3"/>
  <c r="F9" i="3" s="1"/>
  <c r="B10" i="3" s="1"/>
  <c r="D10" i="3" s="1"/>
  <c r="G10" i="7" s="1"/>
  <c r="H11" i="7" s="1"/>
  <c r="E98" i="16" l="1"/>
  <c r="B13" i="4"/>
  <c r="I13" i="4" s="1"/>
  <c r="B12" i="7" s="1"/>
  <c r="F12" i="7" s="1"/>
  <c r="B13" i="8" s="1"/>
  <c r="I55" i="16"/>
  <c r="R55" i="16" s="1"/>
  <c r="B15" i="4" s="1"/>
  <c r="I15" i="4" s="1"/>
  <c r="B14" i="7" s="1"/>
  <c r="F14" i="7" s="1"/>
  <c r="B15" i="8" s="1"/>
  <c r="C98" i="16"/>
  <c r="L57" i="16"/>
  <c r="C58" i="16"/>
  <c r="K58" i="16" s="1"/>
  <c r="D57" i="16"/>
  <c r="E57" i="16" s="1"/>
  <c r="G57" i="16" s="1"/>
  <c r="M56" i="16"/>
  <c r="N56" i="16" s="1"/>
  <c r="O56" i="16"/>
  <c r="P56" i="16" s="1"/>
  <c r="Q56" i="16" s="1"/>
  <c r="R54" i="16"/>
  <c r="B14" i="4" s="1"/>
  <c r="I14" i="4" s="1"/>
  <c r="B13" i="7" s="1"/>
  <c r="F13" i="7" s="1"/>
  <c r="B14" i="8" s="1"/>
  <c r="E10" i="8"/>
  <c r="G10" i="8"/>
  <c r="C18" i="4"/>
  <c r="D17" i="4"/>
  <c r="C11" i="8"/>
  <c r="E10" i="3"/>
  <c r="F10" i="3" s="1"/>
  <c r="B11" i="3" s="1"/>
  <c r="H56" i="16" l="1"/>
  <c r="J56" i="16" s="1"/>
  <c r="L58" i="16"/>
  <c r="D58" i="16"/>
  <c r="E58" i="16" s="1"/>
  <c r="G58" i="16" s="1"/>
  <c r="C59" i="16"/>
  <c r="K59" i="16" s="1"/>
  <c r="D111" i="16"/>
  <c r="M57" i="16"/>
  <c r="N57" i="16" s="1"/>
  <c r="O57" i="16"/>
  <c r="P57" i="16" s="1"/>
  <c r="Q57" i="16" s="1"/>
  <c r="B100" i="16"/>
  <c r="D99" i="16"/>
  <c r="H10" i="8"/>
  <c r="E11" i="8"/>
  <c r="G11" i="8"/>
  <c r="C19" i="4"/>
  <c r="D18" i="4"/>
  <c r="D11" i="3"/>
  <c r="G11" i="7" s="1"/>
  <c r="H12" i="7" s="1"/>
  <c r="I56" i="16" l="1"/>
  <c r="H58" i="16"/>
  <c r="J58" i="16" s="1"/>
  <c r="H57" i="16"/>
  <c r="J57" i="16" s="1"/>
  <c r="C60" i="16"/>
  <c r="K60" i="16" s="1"/>
  <c r="D59" i="16"/>
  <c r="E59" i="16" s="1"/>
  <c r="G59" i="16" s="1"/>
  <c r="L59" i="16"/>
  <c r="M58" i="16"/>
  <c r="N58" i="16" s="1"/>
  <c r="O58" i="16"/>
  <c r="P58" i="16" s="1"/>
  <c r="Q58" i="16" s="1"/>
  <c r="C12" i="8"/>
  <c r="H11" i="8"/>
  <c r="C20" i="4"/>
  <c r="D19" i="4"/>
  <c r="E11" i="3"/>
  <c r="F11" i="3" s="1"/>
  <c r="B12" i="3" s="1"/>
  <c r="R56" i="16" l="1"/>
  <c r="B16" i="4" s="1"/>
  <c r="I16" i="4" s="1"/>
  <c r="B15" i="7" s="1"/>
  <c r="F15" i="7" s="1"/>
  <c r="B16" i="8" s="1"/>
  <c r="C111" i="16"/>
  <c r="C99" i="16"/>
  <c r="H59" i="16"/>
  <c r="J59" i="16" s="1"/>
  <c r="O59" i="16"/>
  <c r="P59" i="16" s="1"/>
  <c r="Q59" i="16" s="1"/>
  <c r="M59" i="16"/>
  <c r="N59" i="16" s="1"/>
  <c r="C61" i="16"/>
  <c r="K61" i="16" s="1"/>
  <c r="D60" i="16"/>
  <c r="E60" i="16" s="1"/>
  <c r="G60" i="16" s="1"/>
  <c r="L60" i="16"/>
  <c r="I58" i="16"/>
  <c r="R58" i="16" s="1"/>
  <c r="B18" i="4" s="1"/>
  <c r="I18" i="4" s="1"/>
  <c r="B17" i="7" s="1"/>
  <c r="F17" i="7" s="1"/>
  <c r="B18" i="8" s="1"/>
  <c r="I57" i="16"/>
  <c r="E12" i="8"/>
  <c r="G12" i="8"/>
  <c r="H12" i="8" s="1"/>
  <c r="C21" i="4"/>
  <c r="D20" i="4"/>
  <c r="D12" i="3"/>
  <c r="G12" i="7" s="1"/>
  <c r="H13" i="7" s="1"/>
  <c r="E111" i="16" l="1"/>
  <c r="E99" i="16"/>
  <c r="R57" i="16"/>
  <c r="B17" i="4" s="1"/>
  <c r="I17" i="4" s="1"/>
  <c r="B16" i="7" s="1"/>
  <c r="F16" i="7" s="1"/>
  <c r="B17" i="8" s="1"/>
  <c r="I59" i="16"/>
  <c r="R59" i="16" s="1"/>
  <c r="B19" i="4" s="1"/>
  <c r="I19" i="4" s="1"/>
  <c r="B18" i="7" s="1"/>
  <c r="F18" i="7" s="1"/>
  <c r="B19" i="8" s="1"/>
  <c r="M60" i="16"/>
  <c r="N60" i="16" s="1"/>
  <c r="O60" i="16"/>
  <c r="P60" i="16" s="1"/>
  <c r="Q60" i="16" s="1"/>
  <c r="L61" i="16"/>
  <c r="D61" i="16"/>
  <c r="E61" i="16" s="1"/>
  <c r="G61" i="16" s="1"/>
  <c r="C62" i="16"/>
  <c r="K62" i="16" s="1"/>
  <c r="D100" i="16"/>
  <c r="C13" i="8"/>
  <c r="C22" i="4"/>
  <c r="D21" i="4"/>
  <c r="E12" i="3"/>
  <c r="F12" i="3" s="1"/>
  <c r="B13" i="3" s="1"/>
  <c r="M61" i="16" l="1"/>
  <c r="N61" i="16" s="1"/>
  <c r="O61" i="16"/>
  <c r="P61" i="16" s="1"/>
  <c r="Q61" i="16" s="1"/>
  <c r="L62" i="16"/>
  <c r="C63" i="16"/>
  <c r="K63" i="16" s="1"/>
  <c r="D62" i="16"/>
  <c r="E62" i="16" s="1"/>
  <c r="G62" i="16" s="1"/>
  <c r="B101" i="16"/>
  <c r="C100" i="16"/>
  <c r="H60" i="16"/>
  <c r="J60" i="16" s="1"/>
  <c r="E100" i="16"/>
  <c r="E13" i="8"/>
  <c r="G13" i="8"/>
  <c r="H13" i="8" s="1"/>
  <c r="C23" i="4"/>
  <c r="D22" i="4"/>
  <c r="D13" i="3"/>
  <c r="G13" i="7" s="1"/>
  <c r="H14" i="7" s="1"/>
  <c r="H61" i="16" l="1"/>
  <c r="J61" i="16" s="1"/>
  <c r="C64" i="16"/>
  <c r="K64" i="16" s="1"/>
  <c r="L63" i="16"/>
  <c r="D63" i="16"/>
  <c r="E63" i="16" s="1"/>
  <c r="G63" i="16" s="1"/>
  <c r="O62" i="16"/>
  <c r="P62" i="16" s="1"/>
  <c r="Q62" i="16" s="1"/>
  <c r="M62" i="16"/>
  <c r="N62" i="16" s="1"/>
  <c r="I60" i="16"/>
  <c r="C14" i="8"/>
  <c r="C24" i="4"/>
  <c r="D23" i="4"/>
  <c r="E13" i="3"/>
  <c r="F13" i="3" s="1"/>
  <c r="B14" i="3" s="1"/>
  <c r="D14" i="3" s="1"/>
  <c r="G14" i="7" s="1"/>
  <c r="H15" i="7" s="1"/>
  <c r="H62" i="16" l="1"/>
  <c r="J62" i="16" s="1"/>
  <c r="D101" i="16"/>
  <c r="H63" i="16"/>
  <c r="J63" i="16" s="1"/>
  <c r="D64" i="16"/>
  <c r="E64" i="16" s="1"/>
  <c r="G64" i="16" s="1"/>
  <c r="C65" i="16"/>
  <c r="K65" i="16" s="1"/>
  <c r="L64" i="16"/>
  <c r="R60" i="16"/>
  <c r="B20" i="4" s="1"/>
  <c r="I20" i="4" s="1"/>
  <c r="B19" i="7" s="1"/>
  <c r="F19" i="7" s="1"/>
  <c r="B20" i="8" s="1"/>
  <c r="M63" i="16"/>
  <c r="N63" i="16" s="1"/>
  <c r="O63" i="16"/>
  <c r="P63" i="16" s="1"/>
  <c r="Q63" i="16" s="1"/>
  <c r="I61" i="16"/>
  <c r="R61" i="16" s="1"/>
  <c r="B21" i="4" s="1"/>
  <c r="I21" i="4" s="1"/>
  <c r="B20" i="7" s="1"/>
  <c r="F20" i="7" s="1"/>
  <c r="B21" i="8" s="1"/>
  <c r="E14" i="8"/>
  <c r="G14" i="8"/>
  <c r="H14" i="8" s="1"/>
  <c r="C25" i="4"/>
  <c r="D24" i="4"/>
  <c r="C15" i="8"/>
  <c r="E14" i="3"/>
  <c r="F14" i="3" s="1"/>
  <c r="B15" i="3" s="1"/>
  <c r="H64" i="16" l="1"/>
  <c r="J64" i="16" s="1"/>
  <c r="M64" i="16"/>
  <c r="N64" i="16" s="1"/>
  <c r="O64" i="16"/>
  <c r="P64" i="16" s="1"/>
  <c r="Q64" i="16" s="1"/>
  <c r="D65" i="16"/>
  <c r="E65" i="16" s="1"/>
  <c r="G65" i="16" s="1"/>
  <c r="L65" i="16"/>
  <c r="C66" i="16"/>
  <c r="K66" i="16" s="1"/>
  <c r="B102" i="16"/>
  <c r="I63" i="16"/>
  <c r="I62" i="16"/>
  <c r="R62" i="16" s="1"/>
  <c r="E15" i="8"/>
  <c r="G15" i="8"/>
  <c r="H15" i="8" s="1"/>
  <c r="C26" i="4"/>
  <c r="D25" i="4"/>
  <c r="D15" i="3"/>
  <c r="G15" i="7" s="1"/>
  <c r="H16" i="7" s="1"/>
  <c r="E101" i="16" l="1"/>
  <c r="B22" i="4"/>
  <c r="I22" i="4" s="1"/>
  <c r="B21" i="7" s="1"/>
  <c r="F21" i="7" s="1"/>
  <c r="B22" i="8" s="1"/>
  <c r="I64" i="16"/>
  <c r="R64" i="16" s="1"/>
  <c r="B24" i="4" s="1"/>
  <c r="I24" i="4" s="1"/>
  <c r="B23" i="7" s="1"/>
  <c r="F23" i="7" s="1"/>
  <c r="B24" i="8" s="1"/>
  <c r="L66" i="16"/>
  <c r="D66" i="16"/>
  <c r="E66" i="16" s="1"/>
  <c r="G66" i="16" s="1"/>
  <c r="C67" i="16"/>
  <c r="K67" i="16" s="1"/>
  <c r="R63" i="16"/>
  <c r="B23" i="4" s="1"/>
  <c r="I23" i="4" s="1"/>
  <c r="B22" i="7" s="1"/>
  <c r="F22" i="7" s="1"/>
  <c r="B23" i="8" s="1"/>
  <c r="M65" i="16"/>
  <c r="N65" i="16" s="1"/>
  <c r="O65" i="16"/>
  <c r="P65" i="16" s="1"/>
  <c r="Q65" i="16" s="1"/>
  <c r="C101" i="16"/>
  <c r="C16" i="8"/>
  <c r="D26" i="4"/>
  <c r="C27" i="4"/>
  <c r="E15" i="3"/>
  <c r="F15" i="3" s="1"/>
  <c r="B16" i="3" s="1"/>
  <c r="D16" i="3" s="1"/>
  <c r="G16" i="7" s="1"/>
  <c r="H17" i="7" s="1"/>
  <c r="D102" i="16" l="1"/>
  <c r="H65" i="16"/>
  <c r="J65" i="16" s="1"/>
  <c r="L67" i="16"/>
  <c r="C68" i="16"/>
  <c r="K68" i="16" s="1"/>
  <c r="D67" i="16"/>
  <c r="E67" i="16" s="1"/>
  <c r="G67" i="16" s="1"/>
  <c r="M66" i="16"/>
  <c r="N66" i="16" s="1"/>
  <c r="O66" i="16"/>
  <c r="P66" i="16" s="1"/>
  <c r="Q66" i="16" s="1"/>
  <c r="E16" i="8"/>
  <c r="G16" i="8"/>
  <c r="H16" i="8" s="1"/>
  <c r="D27" i="4"/>
  <c r="C28" i="4"/>
  <c r="C17" i="8"/>
  <c r="E16" i="3"/>
  <c r="F16" i="3" s="1"/>
  <c r="B17" i="3" s="1"/>
  <c r="D17" i="3" s="1"/>
  <c r="G17" i="7" s="1"/>
  <c r="H18" i="7" s="1"/>
  <c r="H67" i="16" l="1"/>
  <c r="J67" i="16" s="1"/>
  <c r="H66" i="16"/>
  <c r="J66" i="16" s="1"/>
  <c r="M67" i="16"/>
  <c r="N67" i="16" s="1"/>
  <c r="O67" i="16"/>
  <c r="P67" i="16" s="1"/>
  <c r="Q67" i="16" s="1"/>
  <c r="C69" i="16"/>
  <c r="K69" i="16" s="1"/>
  <c r="L68" i="16"/>
  <c r="D68" i="16"/>
  <c r="E68" i="16" s="1"/>
  <c r="G68" i="16" s="1"/>
  <c r="B112" i="16"/>
  <c r="B103" i="16"/>
  <c r="I65" i="16"/>
  <c r="E17" i="8"/>
  <c r="G17" i="8"/>
  <c r="H17" i="8" s="1"/>
  <c r="C29" i="4"/>
  <c r="D28" i="4"/>
  <c r="C18" i="8"/>
  <c r="E17" i="3"/>
  <c r="F17" i="3" s="1"/>
  <c r="B18" i="3" s="1"/>
  <c r="D18" i="3" s="1"/>
  <c r="G18" i="7" s="1"/>
  <c r="H19" i="7" s="1"/>
  <c r="R65" i="16" l="1"/>
  <c r="B25" i="4" s="1"/>
  <c r="I25" i="4" s="1"/>
  <c r="B24" i="7" s="1"/>
  <c r="F24" i="7" s="1"/>
  <c r="B25" i="8" s="1"/>
  <c r="C102" i="16"/>
  <c r="O68" i="16"/>
  <c r="P68" i="16" s="1"/>
  <c r="Q68" i="16" s="1"/>
  <c r="M68" i="16"/>
  <c r="N68" i="16" s="1"/>
  <c r="H68" i="16"/>
  <c r="J68" i="16" s="1"/>
  <c r="D69" i="16"/>
  <c r="E69" i="16" s="1"/>
  <c r="G69" i="16" s="1"/>
  <c r="C70" i="16"/>
  <c r="K70" i="16" s="1"/>
  <c r="L69" i="16"/>
  <c r="I67" i="16"/>
  <c r="R67" i="16" s="1"/>
  <c r="B27" i="4" s="1"/>
  <c r="I27" i="4" s="1"/>
  <c r="B26" i="7" s="1"/>
  <c r="F26" i="7" s="1"/>
  <c r="B27" i="8" s="1"/>
  <c r="I66" i="16"/>
  <c r="E18" i="8"/>
  <c r="G18" i="8"/>
  <c r="H18" i="8" s="1"/>
  <c r="C30" i="4"/>
  <c r="D29" i="4"/>
  <c r="C19" i="8"/>
  <c r="E18" i="3"/>
  <c r="F18" i="3" s="1"/>
  <c r="B19" i="3" s="1"/>
  <c r="D19" i="3" s="1"/>
  <c r="G19" i="7" s="1"/>
  <c r="H20" i="7" s="1"/>
  <c r="D112" i="16" l="1"/>
  <c r="R66" i="16"/>
  <c r="B26" i="4" s="1"/>
  <c r="I26" i="4" s="1"/>
  <c r="B25" i="7" s="1"/>
  <c r="F25" i="7" s="1"/>
  <c r="B26" i="8" s="1"/>
  <c r="O69" i="16"/>
  <c r="P69" i="16" s="1"/>
  <c r="Q69" i="16" s="1"/>
  <c r="M69" i="16"/>
  <c r="N69" i="16" s="1"/>
  <c r="I68" i="16"/>
  <c r="C103" i="16" s="1"/>
  <c r="E102" i="16"/>
  <c r="D70" i="16"/>
  <c r="E70" i="16" s="1"/>
  <c r="G70" i="16" s="1"/>
  <c r="L70" i="16"/>
  <c r="C71" i="16"/>
  <c r="K71" i="16" s="1"/>
  <c r="D103" i="16"/>
  <c r="E19" i="8"/>
  <c r="G19" i="8"/>
  <c r="H19" i="8" s="1"/>
  <c r="C31" i="4"/>
  <c r="D30" i="4"/>
  <c r="C20" i="8"/>
  <c r="E19" i="3"/>
  <c r="F19" i="3" s="1"/>
  <c r="B20" i="3" s="1"/>
  <c r="D20" i="3" s="1"/>
  <c r="G20" i="7" s="1"/>
  <c r="H21" i="7" s="1"/>
  <c r="H69" i="16" l="1"/>
  <c r="J69" i="16" s="1"/>
  <c r="L71" i="16"/>
  <c r="C72" i="16"/>
  <c r="K72" i="16" s="1"/>
  <c r="D71" i="16"/>
  <c r="E71" i="16" s="1"/>
  <c r="G71" i="16" s="1"/>
  <c r="B104" i="16"/>
  <c r="M70" i="16"/>
  <c r="N70" i="16" s="1"/>
  <c r="O70" i="16"/>
  <c r="P70" i="16" s="1"/>
  <c r="Q70" i="16" s="1"/>
  <c r="R68" i="16"/>
  <c r="C112" i="16"/>
  <c r="E103" i="16"/>
  <c r="E20" i="8"/>
  <c r="G20" i="8"/>
  <c r="H20" i="8" s="1"/>
  <c r="C32" i="4"/>
  <c r="D31" i="4"/>
  <c r="C21" i="8"/>
  <c r="E20" i="3"/>
  <c r="F20" i="3" s="1"/>
  <c r="B21" i="3" s="1"/>
  <c r="D21" i="3" s="1"/>
  <c r="G21" i="7" s="1"/>
  <c r="H22" i="7" s="1"/>
  <c r="E112" i="16" l="1"/>
  <c r="B28" i="4"/>
  <c r="I28" i="4" s="1"/>
  <c r="B27" i="7" s="1"/>
  <c r="F27" i="7" s="1"/>
  <c r="B28" i="8" s="1"/>
  <c r="H70" i="16"/>
  <c r="J70" i="16" s="1"/>
  <c r="I69" i="16"/>
  <c r="R69" i="16" s="1"/>
  <c r="B29" i="4" s="1"/>
  <c r="I29" i="4" s="1"/>
  <c r="B28" i="7" s="1"/>
  <c r="F28" i="7" s="1"/>
  <c r="B29" i="8" s="1"/>
  <c r="H71" i="16"/>
  <c r="J71" i="16" s="1"/>
  <c r="C73" i="16"/>
  <c r="K73" i="16" s="1"/>
  <c r="L72" i="16"/>
  <c r="D72" i="16"/>
  <c r="E72" i="16" s="1"/>
  <c r="G72" i="16" s="1"/>
  <c r="O71" i="16"/>
  <c r="P71" i="16" s="1"/>
  <c r="Q71" i="16" s="1"/>
  <c r="M71" i="16"/>
  <c r="N71" i="16" s="1"/>
  <c r="E21" i="8"/>
  <c r="G21" i="8"/>
  <c r="H21" i="8" s="1"/>
  <c r="C33" i="4"/>
  <c r="D32" i="4"/>
  <c r="C22" i="8"/>
  <c r="E21" i="3"/>
  <c r="F21" i="3" s="1"/>
  <c r="B22" i="3" s="1"/>
  <c r="D22" i="3" s="1"/>
  <c r="G22" i="7" s="1"/>
  <c r="H23" i="7" s="1"/>
  <c r="I71" i="16" l="1"/>
  <c r="R71" i="16" s="1"/>
  <c r="B31" i="4" s="1"/>
  <c r="I31" i="4" s="1"/>
  <c r="B30" i="7" s="1"/>
  <c r="F30" i="7" s="1"/>
  <c r="B31" i="8" s="1"/>
  <c r="I70" i="16"/>
  <c r="R70" i="16" s="1"/>
  <c r="B30" i="4" s="1"/>
  <c r="I30" i="4" s="1"/>
  <c r="B29" i="7" s="1"/>
  <c r="F29" i="7" s="1"/>
  <c r="B30" i="8" s="1"/>
  <c r="C74" i="16"/>
  <c r="K74" i="16" s="1"/>
  <c r="D73" i="16"/>
  <c r="E73" i="16" s="1"/>
  <c r="G73" i="16" s="1"/>
  <c r="L73" i="16"/>
  <c r="D104" i="16"/>
  <c r="H72" i="16"/>
  <c r="O72" i="16"/>
  <c r="P72" i="16" s="1"/>
  <c r="Q72" i="16" s="1"/>
  <c r="M72" i="16"/>
  <c r="N72" i="16" s="1"/>
  <c r="E22" i="8"/>
  <c r="G22" i="8"/>
  <c r="H22" i="8" s="1"/>
  <c r="C34" i="4"/>
  <c r="D33" i="4"/>
  <c r="C23" i="8"/>
  <c r="E22" i="3"/>
  <c r="F22" i="3" s="1"/>
  <c r="B23" i="3" s="1"/>
  <c r="D23" i="3" s="1"/>
  <c r="G23" i="7" s="1"/>
  <c r="H24" i="7" s="1"/>
  <c r="C104" i="16" l="1"/>
  <c r="J72" i="16"/>
  <c r="I72" i="16"/>
  <c r="H73" i="16"/>
  <c r="J73" i="16" s="1"/>
  <c r="M73" i="16"/>
  <c r="N73" i="16" s="1"/>
  <c r="O73" i="16"/>
  <c r="P73" i="16" s="1"/>
  <c r="Q73" i="16" s="1"/>
  <c r="L74" i="16"/>
  <c r="D74" i="16"/>
  <c r="E74" i="16" s="1"/>
  <c r="G74" i="16" s="1"/>
  <c r="C75" i="16"/>
  <c r="K75" i="16" s="1"/>
  <c r="B105" i="16"/>
  <c r="E104" i="16"/>
  <c r="E23" i="8"/>
  <c r="G23" i="8"/>
  <c r="H23" i="8" s="1"/>
  <c r="C35" i="4"/>
  <c r="D34" i="4"/>
  <c r="C24" i="8"/>
  <c r="E23" i="3"/>
  <c r="F23" i="3" s="1"/>
  <c r="B24" i="3" s="1"/>
  <c r="D24" i="3" s="1"/>
  <c r="G24" i="7" s="1"/>
  <c r="H25" i="7" s="1"/>
  <c r="H74" i="16" l="1"/>
  <c r="J74" i="16" s="1"/>
  <c r="M74" i="16"/>
  <c r="N74" i="16" s="1"/>
  <c r="O74" i="16"/>
  <c r="P74" i="16" s="1"/>
  <c r="Q74" i="16" s="1"/>
  <c r="R72" i="16"/>
  <c r="B32" i="4" s="1"/>
  <c r="I32" i="4" s="1"/>
  <c r="B31" i="7" s="1"/>
  <c r="F31" i="7" s="1"/>
  <c r="B32" i="8" s="1"/>
  <c r="L75" i="16"/>
  <c r="D75" i="16"/>
  <c r="E75" i="16" s="1"/>
  <c r="G75" i="16" s="1"/>
  <c r="C76" i="16"/>
  <c r="K76" i="16" s="1"/>
  <c r="I73" i="16"/>
  <c r="R73" i="16" s="1"/>
  <c r="B33" i="4" s="1"/>
  <c r="I33" i="4" s="1"/>
  <c r="B32" i="7" s="1"/>
  <c r="F32" i="7" s="1"/>
  <c r="B33" i="8" s="1"/>
  <c r="E24" i="8"/>
  <c r="G24" i="8"/>
  <c r="H24" i="8" s="1"/>
  <c r="C36" i="4"/>
  <c r="D35" i="4"/>
  <c r="C25" i="8"/>
  <c r="E24" i="3"/>
  <c r="F24" i="3" s="1"/>
  <c r="B25" i="3" s="1"/>
  <c r="D25" i="3" s="1"/>
  <c r="G25" i="7" s="1"/>
  <c r="H26" i="7" s="1"/>
  <c r="D105" i="16" l="1"/>
  <c r="I74" i="16"/>
  <c r="R74" i="16" s="1"/>
  <c r="H75" i="16"/>
  <c r="J75" i="16" s="1"/>
  <c r="C77" i="16"/>
  <c r="K77" i="16" s="1"/>
  <c r="D76" i="16"/>
  <c r="E76" i="16" s="1"/>
  <c r="G76" i="16" s="1"/>
  <c r="L76" i="16"/>
  <c r="O75" i="16"/>
  <c r="P75" i="16" s="1"/>
  <c r="Q75" i="16" s="1"/>
  <c r="M75" i="16"/>
  <c r="N75" i="16" s="1"/>
  <c r="B106" i="16"/>
  <c r="E25" i="8"/>
  <c r="G25" i="8"/>
  <c r="H25" i="8" s="1"/>
  <c r="C37" i="4"/>
  <c r="D36" i="4"/>
  <c r="C26" i="8"/>
  <c r="E25" i="3"/>
  <c r="F25" i="3" s="1"/>
  <c r="B26" i="3" s="1"/>
  <c r="D26" i="3" s="1"/>
  <c r="G26" i="7" s="1"/>
  <c r="H27" i="7" s="1"/>
  <c r="C105" i="16" l="1"/>
  <c r="E105" i="16"/>
  <c r="B34" i="4"/>
  <c r="I34" i="4" s="1"/>
  <c r="B33" i="7" s="1"/>
  <c r="F33" i="7" s="1"/>
  <c r="B34" i="8" s="1"/>
  <c r="I75" i="16"/>
  <c r="R75" i="16"/>
  <c r="B35" i="4" s="1"/>
  <c r="I35" i="4" s="1"/>
  <c r="B34" i="7" s="1"/>
  <c r="F34" i="7" s="1"/>
  <c r="B35" i="8" s="1"/>
  <c r="H76" i="16"/>
  <c r="J76" i="16" s="1"/>
  <c r="O76" i="16"/>
  <c r="P76" i="16" s="1"/>
  <c r="Q76" i="16" s="1"/>
  <c r="M76" i="16"/>
  <c r="N76" i="16" s="1"/>
  <c r="C78" i="16"/>
  <c r="K78" i="16" s="1"/>
  <c r="D77" i="16"/>
  <c r="E77" i="16" s="1"/>
  <c r="G77" i="16" s="1"/>
  <c r="L77" i="16"/>
  <c r="E26" i="8"/>
  <c r="G26" i="8"/>
  <c r="H26" i="8" s="1"/>
  <c r="C38" i="4"/>
  <c r="D37" i="4"/>
  <c r="C27" i="8"/>
  <c r="E26" i="3"/>
  <c r="F26" i="3" s="1"/>
  <c r="B27" i="3" s="1"/>
  <c r="D27" i="3" s="1"/>
  <c r="G27" i="7" s="1"/>
  <c r="H28" i="7" s="1"/>
  <c r="I76" i="16" l="1"/>
  <c r="R76" i="16" s="1"/>
  <c r="B36" i="4" s="1"/>
  <c r="I36" i="4" s="1"/>
  <c r="B35" i="7" s="1"/>
  <c r="F35" i="7" s="1"/>
  <c r="B36" i="8" s="1"/>
  <c r="O77" i="16"/>
  <c r="P77" i="16" s="1"/>
  <c r="Q77" i="16" s="1"/>
  <c r="M77" i="16"/>
  <c r="N77" i="16" s="1"/>
  <c r="D78" i="16"/>
  <c r="E78" i="16" s="1"/>
  <c r="G78" i="16" s="1"/>
  <c r="C79" i="16"/>
  <c r="K79" i="16" s="1"/>
  <c r="L78" i="16"/>
  <c r="H77" i="16"/>
  <c r="J77" i="16" s="1"/>
  <c r="E27" i="8"/>
  <c r="G27" i="8"/>
  <c r="H27" i="8" s="1"/>
  <c r="C39" i="4"/>
  <c r="D38" i="4"/>
  <c r="C28" i="8"/>
  <c r="E27" i="3"/>
  <c r="F27" i="3" s="1"/>
  <c r="B28" i="3" s="1"/>
  <c r="D28" i="3" s="1"/>
  <c r="G28" i="7" s="1"/>
  <c r="H29" i="7" s="1"/>
  <c r="D106" i="16" l="1"/>
  <c r="I77" i="16"/>
  <c r="R77" i="16" s="1"/>
  <c r="O78" i="16"/>
  <c r="P78" i="16" s="1"/>
  <c r="Q78" i="16" s="1"/>
  <c r="M78" i="16"/>
  <c r="N78" i="16" s="1"/>
  <c r="L79" i="16"/>
  <c r="D79" i="16"/>
  <c r="E79" i="16" s="1"/>
  <c r="G79" i="16" s="1"/>
  <c r="C80" i="16"/>
  <c r="H78" i="16"/>
  <c r="J78" i="16" s="1"/>
  <c r="B107" i="16"/>
  <c r="E28" i="8"/>
  <c r="G28" i="8"/>
  <c r="H28" i="8" s="1"/>
  <c r="C40" i="4"/>
  <c r="C41" i="4" s="1"/>
  <c r="D39" i="4"/>
  <c r="C29" i="8"/>
  <c r="E28" i="3"/>
  <c r="F28" i="3" s="1"/>
  <c r="B29" i="3" s="1"/>
  <c r="D29" i="3" s="1"/>
  <c r="G29" i="7" s="1"/>
  <c r="H30" i="7" s="1"/>
  <c r="C42" i="4" l="1"/>
  <c r="D41" i="4"/>
  <c r="B37" i="4"/>
  <c r="I37" i="4" s="1"/>
  <c r="B36" i="7" s="1"/>
  <c r="F36" i="7" s="1"/>
  <c r="B37" i="8" s="1"/>
  <c r="E106" i="16"/>
  <c r="C106" i="16"/>
  <c r="C81" i="16"/>
  <c r="K80" i="16"/>
  <c r="I78" i="16"/>
  <c r="L80" i="16"/>
  <c r="D80" i="16"/>
  <c r="E80" i="16" s="1"/>
  <c r="G80" i="16" s="1"/>
  <c r="B113" i="16"/>
  <c r="M79" i="16"/>
  <c r="N79" i="16" s="1"/>
  <c r="O79" i="16"/>
  <c r="P79" i="16" s="1"/>
  <c r="Q79" i="16" s="1"/>
  <c r="E29" i="8"/>
  <c r="G29" i="8"/>
  <c r="H29" i="8" s="1"/>
  <c r="D40" i="4"/>
  <c r="C30" i="8"/>
  <c r="E29" i="3"/>
  <c r="F29" i="3" s="1"/>
  <c r="B30" i="3" s="1"/>
  <c r="D30" i="3" s="1"/>
  <c r="G30" i="7" s="1"/>
  <c r="H31" i="7" s="1"/>
  <c r="E30" i="3"/>
  <c r="F30" i="3" s="1"/>
  <c r="B31" i="3" s="1"/>
  <c r="C43" i="4" l="1"/>
  <c r="D42" i="4"/>
  <c r="D81" i="16"/>
  <c r="E81" i="16" s="1"/>
  <c r="G81" i="16" s="1"/>
  <c r="C82" i="16"/>
  <c r="K81" i="16"/>
  <c r="L81" i="16" s="1"/>
  <c r="H80" i="16"/>
  <c r="J80" i="16" s="1"/>
  <c r="M80" i="16"/>
  <c r="N80" i="16" s="1"/>
  <c r="O80" i="16"/>
  <c r="P80" i="16" s="1"/>
  <c r="Q80" i="16" s="1"/>
  <c r="H79" i="16"/>
  <c r="J79" i="16" s="1"/>
  <c r="R78" i="16"/>
  <c r="B38" i="4" s="1"/>
  <c r="I38" i="4" s="1"/>
  <c r="B37" i="7" s="1"/>
  <c r="F37" i="7" s="1"/>
  <c r="B38" i="8" s="1"/>
  <c r="E30" i="8"/>
  <c r="G30" i="8"/>
  <c r="H30" i="8" s="1"/>
  <c r="C31" i="8"/>
  <c r="D31" i="3"/>
  <c r="G31" i="7" s="1"/>
  <c r="H32" i="7" s="1"/>
  <c r="D43" i="4" l="1"/>
  <c r="C44" i="4"/>
  <c r="M81" i="16"/>
  <c r="N81" i="16" s="1"/>
  <c r="O81" i="16"/>
  <c r="P81" i="16" s="1"/>
  <c r="Q81" i="16" s="1"/>
  <c r="K82" i="16"/>
  <c r="L82" i="16" s="1"/>
  <c r="D82" i="16"/>
  <c r="E82" i="16" s="1"/>
  <c r="G82" i="16" s="1"/>
  <c r="C83" i="16"/>
  <c r="D113" i="16"/>
  <c r="I79" i="16"/>
  <c r="I80" i="16"/>
  <c r="D107" i="16"/>
  <c r="C32" i="8"/>
  <c r="E31" i="8"/>
  <c r="G31" i="8"/>
  <c r="H31" i="8" s="1"/>
  <c r="E31" i="3"/>
  <c r="F31" i="3" s="1"/>
  <c r="B32" i="3" s="1"/>
  <c r="C45" i="4" l="1"/>
  <c r="D44" i="4"/>
  <c r="H81" i="16"/>
  <c r="J81" i="16" s="1"/>
  <c r="K83" i="16"/>
  <c r="L83" i="16" s="1"/>
  <c r="C84" i="16"/>
  <c r="D83" i="16"/>
  <c r="E83" i="16" s="1"/>
  <c r="G83" i="16" s="1"/>
  <c r="O82" i="16"/>
  <c r="P82" i="16" s="1"/>
  <c r="Q82" i="16" s="1"/>
  <c r="M82" i="16"/>
  <c r="N82" i="16" s="1"/>
  <c r="R79" i="16"/>
  <c r="B39" i="4" s="1"/>
  <c r="I39" i="4" s="1"/>
  <c r="B38" i="7" s="1"/>
  <c r="F38" i="7" s="1"/>
  <c r="B39" i="8" s="1"/>
  <c r="C107" i="16"/>
  <c r="R80" i="16"/>
  <c r="C113" i="16"/>
  <c r="E32" i="8"/>
  <c r="G32" i="8"/>
  <c r="H32" i="8" s="1"/>
  <c r="D32" i="3"/>
  <c r="G32" i="7" s="1"/>
  <c r="H33" i="7" s="1"/>
  <c r="C46" i="4" l="1"/>
  <c r="D45" i="4"/>
  <c r="C33" i="8"/>
  <c r="E33" i="8" s="1"/>
  <c r="H83" i="16"/>
  <c r="J83" i="16" s="1"/>
  <c r="H82" i="16"/>
  <c r="J82" i="16" s="1"/>
  <c r="C85" i="16"/>
  <c r="K84" i="16"/>
  <c r="L84" i="16" s="1"/>
  <c r="D84" i="16"/>
  <c r="E84" i="16" s="1"/>
  <c r="G84" i="16" s="1"/>
  <c r="O83" i="16"/>
  <c r="P83" i="16" s="1"/>
  <c r="Q83" i="16" s="1"/>
  <c r="M83" i="16"/>
  <c r="N83" i="16" s="1"/>
  <c r="I81" i="16"/>
  <c r="R81" i="16" s="1"/>
  <c r="B41" i="4" s="1"/>
  <c r="I41" i="4" s="1"/>
  <c r="B40" i="7" s="1"/>
  <c r="F40" i="7" s="1"/>
  <c r="E113" i="16"/>
  <c r="B40" i="4"/>
  <c r="I40" i="4" s="1"/>
  <c r="B39" i="7" s="1"/>
  <c r="F39" i="7" s="1"/>
  <c r="E107" i="16"/>
  <c r="E32" i="3"/>
  <c r="F32" i="3" s="1"/>
  <c r="B33" i="3" s="1"/>
  <c r="B40" i="8" l="1"/>
  <c r="B41" i="8"/>
  <c r="C47" i="4"/>
  <c r="D46" i="4"/>
  <c r="G33" i="8"/>
  <c r="H33" i="8" s="1"/>
  <c r="I83" i="16"/>
  <c r="R83" i="16" s="1"/>
  <c r="B43" i="4" s="1"/>
  <c r="I43" i="4" s="1"/>
  <c r="B42" i="7" s="1"/>
  <c r="F42" i="7" s="1"/>
  <c r="B43" i="8" s="1"/>
  <c r="O84" i="16"/>
  <c r="P84" i="16" s="1"/>
  <c r="Q84" i="16" s="1"/>
  <c r="M84" i="16"/>
  <c r="N84" i="16" s="1"/>
  <c r="C86" i="16"/>
  <c r="D85" i="16"/>
  <c r="E85" i="16" s="1"/>
  <c r="G85" i="16" s="1"/>
  <c r="K85" i="16"/>
  <c r="L85" i="16" s="1"/>
  <c r="H84" i="16"/>
  <c r="J84" i="16" s="1"/>
  <c r="I82" i="16"/>
  <c r="R82" i="16" s="1"/>
  <c r="B42" i="4" s="1"/>
  <c r="I42" i="4" s="1"/>
  <c r="B41" i="7" s="1"/>
  <c r="F41" i="7" s="1"/>
  <c r="B42" i="8" s="1"/>
  <c r="D33" i="3"/>
  <c r="G33" i="7" s="1"/>
  <c r="H34" i="7" s="1"/>
  <c r="C48" i="4" l="1"/>
  <c r="D47" i="4"/>
  <c r="I84" i="16"/>
  <c r="R84" i="16" s="1"/>
  <c r="B44" i="4" s="1"/>
  <c r="I44" i="4" s="1"/>
  <c r="B43" i="7" s="1"/>
  <c r="F43" i="7" s="1"/>
  <c r="B44" i="8" s="1"/>
  <c r="M85" i="16"/>
  <c r="N85" i="16" s="1"/>
  <c r="O85" i="16"/>
  <c r="P85" i="16" s="1"/>
  <c r="Q85" i="16" s="1"/>
  <c r="H85" i="16"/>
  <c r="K86" i="16"/>
  <c r="L86" i="16" s="1"/>
  <c r="D86" i="16"/>
  <c r="E86" i="16" s="1"/>
  <c r="G86" i="16" s="1"/>
  <c r="C87" i="16"/>
  <c r="C34" i="8"/>
  <c r="E33" i="3"/>
  <c r="F33" i="3" s="1"/>
  <c r="B34" i="3" s="1"/>
  <c r="C49" i="4" l="1"/>
  <c r="D48" i="4"/>
  <c r="J85" i="16"/>
  <c r="I85" i="16"/>
  <c r="K87" i="16"/>
  <c r="L87" i="16" s="1"/>
  <c r="C88" i="16"/>
  <c r="D87" i="16"/>
  <c r="E87" i="16" s="1"/>
  <c r="G87" i="16" s="1"/>
  <c r="H86" i="16"/>
  <c r="J86" i="16" s="1"/>
  <c r="M86" i="16"/>
  <c r="N86" i="16" s="1"/>
  <c r="O86" i="16"/>
  <c r="P86" i="16" s="1"/>
  <c r="Q86" i="16" s="1"/>
  <c r="E34" i="8"/>
  <c r="G34" i="8"/>
  <c r="H34" i="8" s="1"/>
  <c r="D34" i="3"/>
  <c r="G34" i="7" s="1"/>
  <c r="H35" i="7" s="1"/>
  <c r="C50" i="4" l="1"/>
  <c r="D49" i="4"/>
  <c r="R85" i="16"/>
  <c r="B45" i="4" s="1"/>
  <c r="I45" i="4" s="1"/>
  <c r="B44" i="7" s="1"/>
  <c r="F44" i="7" s="1"/>
  <c r="B45" i="8" s="1"/>
  <c r="I86" i="16"/>
  <c r="R86" i="16" s="1"/>
  <c r="B46" i="4" s="1"/>
  <c r="I46" i="4" s="1"/>
  <c r="B45" i="7" s="1"/>
  <c r="F45" i="7" s="1"/>
  <c r="B46" i="8" s="1"/>
  <c r="H87" i="16"/>
  <c r="J87" i="16" s="1"/>
  <c r="K88" i="16"/>
  <c r="L88" i="16" s="1"/>
  <c r="C89" i="16"/>
  <c r="D88" i="16"/>
  <c r="E88" i="16" s="1"/>
  <c r="G88" i="16" s="1"/>
  <c r="M87" i="16"/>
  <c r="N87" i="16" s="1"/>
  <c r="O87" i="16"/>
  <c r="P87" i="16" s="1"/>
  <c r="Q87" i="16" s="1"/>
  <c r="C35" i="8"/>
  <c r="E34" i="3"/>
  <c r="F34" i="3" s="1"/>
  <c r="B35" i="3" s="1"/>
  <c r="D50" i="4" l="1"/>
  <c r="C51" i="4"/>
  <c r="I87" i="16"/>
  <c r="R87" i="16" s="1"/>
  <c r="B47" i="4" s="1"/>
  <c r="I47" i="4" s="1"/>
  <c r="B46" i="7" s="1"/>
  <c r="F46" i="7" s="1"/>
  <c r="B47" i="8" s="1"/>
  <c r="H88" i="16"/>
  <c r="C90" i="16"/>
  <c r="D89" i="16"/>
  <c r="E89" i="16" s="1"/>
  <c r="G89" i="16" s="1"/>
  <c r="K89" i="16"/>
  <c r="L89" i="16" s="1"/>
  <c r="O88" i="16"/>
  <c r="P88" i="16" s="1"/>
  <c r="Q88" i="16" s="1"/>
  <c r="M88" i="16"/>
  <c r="N88" i="16" s="1"/>
  <c r="E35" i="8"/>
  <c r="G35" i="8"/>
  <c r="H35" i="8" s="1"/>
  <c r="D35" i="3"/>
  <c r="G35" i="7" s="1"/>
  <c r="H36" i="7" s="1"/>
  <c r="C52" i="4" l="1"/>
  <c r="D52" i="4" s="1"/>
  <c r="D51" i="4"/>
  <c r="C36" i="8"/>
  <c r="E36" i="8" s="1"/>
  <c r="J88" i="16"/>
  <c r="I88" i="16"/>
  <c r="H89" i="16"/>
  <c r="J89" i="16" s="1"/>
  <c r="O89" i="16"/>
  <c r="P89" i="16" s="1"/>
  <c r="Q89" i="16" s="1"/>
  <c r="M89" i="16"/>
  <c r="N89" i="16" s="1"/>
  <c r="D90" i="16"/>
  <c r="E90" i="16" s="1"/>
  <c r="G90" i="16" s="1"/>
  <c r="C91" i="16"/>
  <c r="K90" i="16"/>
  <c r="L90" i="16" s="1"/>
  <c r="E35" i="3"/>
  <c r="F35" i="3" s="1"/>
  <c r="B36" i="3" s="1"/>
  <c r="G36" i="8" l="1"/>
  <c r="H36" i="8" s="1"/>
  <c r="R88" i="16"/>
  <c r="B48" i="4" s="1"/>
  <c r="I48" i="4" s="1"/>
  <c r="B47" i="7" s="1"/>
  <c r="F47" i="7" s="1"/>
  <c r="B48" i="8" s="1"/>
  <c r="I89" i="16"/>
  <c r="K91" i="16"/>
  <c r="L91" i="16" s="1"/>
  <c r="C92" i="16"/>
  <c r="D91" i="16"/>
  <c r="E91" i="16" s="1"/>
  <c r="G91" i="16" s="1"/>
  <c r="M90" i="16"/>
  <c r="N90" i="16" s="1"/>
  <c r="O90" i="16"/>
  <c r="P90" i="16" s="1"/>
  <c r="Q90" i="16" s="1"/>
  <c r="H90" i="16"/>
  <c r="J90" i="16" s="1"/>
  <c r="R89" i="16"/>
  <c r="B49" i="4" s="1"/>
  <c r="I49" i="4" s="1"/>
  <c r="B48" i="7" s="1"/>
  <c r="F48" i="7" s="1"/>
  <c r="B49" i="8" s="1"/>
  <c r="D36" i="3"/>
  <c r="G36" i="7" s="1"/>
  <c r="H37" i="7" s="1"/>
  <c r="I90" i="16" l="1"/>
  <c r="R90" i="16" s="1"/>
  <c r="B50" i="4" s="1"/>
  <c r="I50" i="4" s="1"/>
  <c r="B49" i="7" s="1"/>
  <c r="F49" i="7" s="1"/>
  <c r="B50" i="8" s="1"/>
  <c r="H91" i="16"/>
  <c r="J91" i="16" s="1"/>
  <c r="D92" i="16"/>
  <c r="E92" i="16" s="1"/>
  <c r="G92" i="16" s="1"/>
  <c r="K92" i="16"/>
  <c r="L92" i="16" s="1"/>
  <c r="M91" i="16"/>
  <c r="N91" i="16" s="1"/>
  <c r="O91" i="16"/>
  <c r="P91" i="16" s="1"/>
  <c r="Q91" i="16" s="1"/>
  <c r="C37" i="8"/>
  <c r="E36" i="3"/>
  <c r="F36" i="3" s="1"/>
  <c r="B37" i="3" s="1"/>
  <c r="I91" i="16" l="1"/>
  <c r="R91" i="16" s="1"/>
  <c r="B51" i="4" s="1"/>
  <c r="I51" i="4" s="1"/>
  <c r="B50" i="7" s="1"/>
  <c r="F50" i="7" s="1"/>
  <c r="B51" i="8" s="1"/>
  <c r="M92" i="16"/>
  <c r="N92" i="16" s="1"/>
  <c r="O92" i="16"/>
  <c r="P92" i="16" s="1"/>
  <c r="Q92" i="16" s="1"/>
  <c r="H92" i="16"/>
  <c r="E37" i="8"/>
  <c r="G37" i="8"/>
  <c r="H37" i="8" s="1"/>
  <c r="D37" i="3"/>
  <c r="G37" i="7" s="1"/>
  <c r="H38" i="7" s="1"/>
  <c r="J92" i="16" l="1"/>
  <c r="I92" i="16"/>
  <c r="C38" i="8"/>
  <c r="E37" i="3"/>
  <c r="F37" i="3" s="1"/>
  <c r="B38" i="3" s="1"/>
  <c r="R92" i="16" l="1"/>
  <c r="B52" i="4" s="1"/>
  <c r="I52" i="4" s="1"/>
  <c r="B51" i="7" s="1"/>
  <c r="F51" i="7" s="1"/>
  <c r="E38" i="8"/>
  <c r="G38" i="8"/>
  <c r="H38" i="8" s="1"/>
  <c r="D38" i="3"/>
  <c r="G38" i="7" s="1"/>
  <c r="H39" i="7" s="1"/>
  <c r="C39" i="8" l="1"/>
  <c r="E38" i="3"/>
  <c r="F38" i="3" s="1"/>
  <c r="B39" i="3" s="1"/>
  <c r="E39" i="8" l="1"/>
  <c r="G39" i="8"/>
  <c r="H39" i="8" s="1"/>
  <c r="D39" i="3"/>
  <c r="E39" i="3" l="1"/>
  <c r="F39" i="3" s="1"/>
  <c r="B40" i="3" s="1"/>
  <c r="G39" i="7"/>
  <c r="H40" i="7" s="1"/>
  <c r="D40" i="3"/>
  <c r="E40" i="3" l="1"/>
  <c r="G40" i="7"/>
  <c r="F40" i="3"/>
  <c r="B41" i="3" s="1"/>
  <c r="D41" i="3" s="1"/>
  <c r="E41" i="3" l="1"/>
  <c r="F41" i="3" s="1"/>
  <c r="B42" i="3" s="1"/>
  <c r="G41" i="7"/>
  <c r="C40" i="8"/>
  <c r="H41" i="7"/>
  <c r="C41" i="8"/>
  <c r="D42" i="3"/>
  <c r="E42" i="3" l="1"/>
  <c r="F42" i="3" s="1"/>
  <c r="B43" i="3" s="1"/>
  <c r="G42" i="7"/>
  <c r="E41" i="8"/>
  <c r="G41" i="8"/>
  <c r="E40" i="8"/>
  <c r="G40" i="8"/>
  <c r="H40" i="8" s="1"/>
  <c r="H41" i="8" s="1"/>
  <c r="C42" i="8"/>
  <c r="H42" i="7"/>
  <c r="D43" i="3"/>
  <c r="E43" i="3" l="1"/>
  <c r="F43" i="3" s="1"/>
  <c r="B44" i="3" s="1"/>
  <c r="G43" i="7"/>
  <c r="E42" i="8"/>
  <c r="G42" i="8"/>
  <c r="H42" i="8" s="1"/>
  <c r="C43" i="8"/>
  <c r="H43" i="7"/>
  <c r="D44" i="3"/>
  <c r="C44" i="8" l="1"/>
  <c r="H44" i="7"/>
  <c r="E44" i="3"/>
  <c r="F44" i="3" s="1"/>
  <c r="B45" i="3" s="1"/>
  <c r="G44" i="7"/>
  <c r="E43" i="8"/>
  <c r="G43" i="8"/>
  <c r="H43" i="8" s="1"/>
  <c r="D45" i="3"/>
  <c r="C45" i="8" l="1"/>
  <c r="H45" i="7"/>
  <c r="E45" i="3"/>
  <c r="F45" i="3" s="1"/>
  <c r="B46" i="3" s="1"/>
  <c r="G45" i="7"/>
  <c r="E44" i="8"/>
  <c r="G44" i="8"/>
  <c r="H44" i="8" s="1"/>
  <c r="D46" i="3"/>
  <c r="C46" i="8" l="1"/>
  <c r="H46" i="7"/>
  <c r="E46" i="3"/>
  <c r="F46" i="3" s="1"/>
  <c r="B47" i="3" s="1"/>
  <c r="D47" i="3" s="1"/>
  <c r="G46" i="7"/>
  <c r="E45" i="8"/>
  <c r="G45" i="8"/>
  <c r="H45" i="8" s="1"/>
  <c r="E47" i="3" l="1"/>
  <c r="F47" i="3" s="1"/>
  <c r="B48" i="3" s="1"/>
  <c r="G47" i="7"/>
  <c r="C47" i="8"/>
  <c r="H47" i="7"/>
  <c r="E46" i="8"/>
  <c r="G46" i="8"/>
  <c r="H46" i="8"/>
  <c r="D48" i="3"/>
  <c r="C48" i="8" l="1"/>
  <c r="H48" i="7"/>
  <c r="E48" i="3"/>
  <c r="F48" i="3" s="1"/>
  <c r="B49" i="3" s="1"/>
  <c r="G48" i="7"/>
  <c r="E47" i="8"/>
  <c r="G47" i="8"/>
  <c r="H47" i="8" s="1"/>
  <c r="D49" i="3"/>
  <c r="E49" i="3" l="1"/>
  <c r="F49" i="3" s="1"/>
  <c r="B50" i="3" s="1"/>
  <c r="G49" i="7"/>
  <c r="C49" i="8"/>
  <c r="H49" i="7"/>
  <c r="E48" i="8"/>
  <c r="G48" i="8"/>
  <c r="H48" i="8" s="1"/>
  <c r="D50" i="3"/>
  <c r="E50" i="3" l="1"/>
  <c r="F50" i="3" s="1"/>
  <c r="B51" i="3" s="1"/>
  <c r="D51" i="3" s="1"/>
  <c r="G50" i="7"/>
  <c r="E49" i="8"/>
  <c r="G49" i="8"/>
  <c r="H49" i="8" s="1"/>
  <c r="C50" i="8"/>
  <c r="H50" i="7"/>
  <c r="E51" i="3" l="1"/>
  <c r="F51" i="3" s="1"/>
  <c r="B52" i="3" s="1"/>
  <c r="G51" i="7"/>
  <c r="E50" i="8"/>
  <c r="G50" i="8"/>
  <c r="H50" i="8" s="1"/>
  <c r="C51" i="8"/>
  <c r="H51" i="7"/>
  <c r="D52" i="3"/>
  <c r="E52" i="3" s="1"/>
  <c r="F52" i="3"/>
  <c r="B53" i="3" s="1"/>
  <c r="E51" i="8" l="1"/>
  <c r="G51" i="8"/>
  <c r="D53" i="3"/>
  <c r="E53" i="3" s="1"/>
  <c r="F53" i="3"/>
  <c r="B54" i="3" s="1"/>
  <c r="H51" i="8" l="1"/>
  <c r="B8" i="9"/>
  <c r="D54" i="3"/>
  <c r="E54" i="3" s="1"/>
  <c r="F54" i="3" s="1"/>
  <c r="B55" i="3" s="1"/>
  <c r="D55" i="3" l="1"/>
  <c r="E55" i="3" s="1"/>
  <c r="F55" i="3" s="1"/>
  <c r="B56" i="3" s="1"/>
  <c r="D56" i="3" l="1"/>
  <c r="E56" i="3" s="1"/>
  <c r="F56" i="3"/>
  <c r="B57" i="3" s="1"/>
  <c r="D57" i="3" l="1"/>
  <c r="E57" i="3" s="1"/>
  <c r="F57" i="3"/>
  <c r="B58" i="3" s="1"/>
  <c r="D58" i="3" l="1"/>
  <c r="E58" i="3" s="1"/>
  <c r="F58" i="3" s="1"/>
  <c r="B59" i="3" s="1"/>
  <c r="D59" i="3" l="1"/>
  <c r="E59" i="3" s="1"/>
  <c r="F59" i="3" s="1"/>
  <c r="B60" i="3" s="1"/>
  <c r="D60" i="3" l="1"/>
  <c r="E60" i="3" s="1"/>
  <c r="F60" i="3" s="1"/>
  <c r="B61" i="3" s="1"/>
  <c r="D61" i="3" l="1"/>
  <c r="E61" i="3" s="1"/>
  <c r="F61" i="3" s="1"/>
  <c r="B62" i="3" s="1"/>
  <c r="D62" i="3" l="1"/>
  <c r="E62" i="3" s="1"/>
  <c r="F62" i="3" s="1"/>
  <c r="B63" i="3" s="1"/>
  <c r="D63" i="3" l="1"/>
  <c r="E63" i="3" s="1"/>
  <c r="F63" i="3" s="1"/>
  <c r="B64" i="3" s="1"/>
  <c r="D64" i="3" l="1"/>
  <c r="E64" i="3" s="1"/>
  <c r="F64" i="3" s="1"/>
  <c r="B65" i="3" s="1"/>
  <c r="D65" i="3" l="1"/>
  <c r="E65" i="3" s="1"/>
  <c r="F65" i="3" s="1"/>
  <c r="B66" i="3" s="1"/>
  <c r="D66" i="3" l="1"/>
  <c r="E66" i="3" s="1"/>
  <c r="F66" i="3" s="1"/>
  <c r="B67" i="3" s="1"/>
  <c r="D67" i="3" l="1"/>
  <c r="E67" i="3" s="1"/>
  <c r="F67" i="3" s="1"/>
  <c r="B68" i="3" s="1"/>
  <c r="D68" i="3" l="1"/>
  <c r="E68" i="3" s="1"/>
  <c r="F68" i="3" s="1"/>
  <c r="B69" i="3" s="1"/>
  <c r="D69" i="3" l="1"/>
  <c r="E69" i="3" s="1"/>
  <c r="F69" i="3" s="1"/>
  <c r="B70" i="3" s="1"/>
  <c r="D70" i="3" l="1"/>
  <c r="E70" i="3" s="1"/>
  <c r="F70" i="3" s="1"/>
  <c r="B71" i="3" s="1"/>
  <c r="D71" i="3" l="1"/>
  <c r="E71" i="3" s="1"/>
  <c r="F71" i="3" s="1"/>
  <c r="B72" i="3" s="1"/>
  <c r="D72" i="3" l="1"/>
  <c r="E72" i="3" s="1"/>
  <c r="F72" i="3" s="1"/>
  <c r="B73" i="3" s="1"/>
  <c r="D73" i="3" l="1"/>
  <c r="E73" i="3" s="1"/>
  <c r="F73" i="3" s="1"/>
  <c r="B74" i="3" s="1"/>
  <c r="D74" i="3" l="1"/>
  <c r="E74" i="3" s="1"/>
  <c r="F74" i="3" s="1"/>
  <c r="B75" i="3" s="1"/>
  <c r="D75" i="3" l="1"/>
  <c r="E75" i="3" s="1"/>
  <c r="F75" i="3" s="1"/>
  <c r="B76" i="3" s="1"/>
  <c r="D76" i="3" l="1"/>
  <c r="E76" i="3" s="1"/>
  <c r="F76" i="3" s="1"/>
  <c r="B77" i="3" s="1"/>
  <c r="D77" i="3" l="1"/>
  <c r="E77" i="3" s="1"/>
  <c r="F77" i="3" s="1"/>
  <c r="B78" i="3" s="1"/>
  <c r="D78" i="3" l="1"/>
  <c r="E78" i="3" s="1"/>
  <c r="F78" i="3" s="1"/>
  <c r="B79" i="3" s="1"/>
  <c r="D79" i="3" l="1"/>
  <c r="E79" i="3" s="1"/>
  <c r="F79" i="3" s="1"/>
  <c r="B80" i="3" s="1"/>
  <c r="D80" i="3" l="1"/>
  <c r="E80" i="3" s="1"/>
  <c r="F80" i="3" s="1"/>
  <c r="B81" i="3" s="1"/>
  <c r="D81" i="3" l="1"/>
  <c r="E81" i="3" s="1"/>
  <c r="F81" i="3" s="1"/>
  <c r="B82" i="3" s="1"/>
  <c r="D82" i="3" l="1"/>
  <c r="E82" i="3" s="1"/>
  <c r="F82" i="3" s="1"/>
  <c r="B83" i="3" s="1"/>
  <c r="D83" i="3" l="1"/>
  <c r="E83" i="3" s="1"/>
  <c r="F83" i="3" s="1"/>
  <c r="B84" i="3" s="1"/>
  <c r="D84" i="3" l="1"/>
  <c r="E84" i="3" s="1"/>
  <c r="F84" i="3" s="1"/>
  <c r="B85" i="3" s="1"/>
  <c r="D85" i="3" l="1"/>
  <c r="E85" i="3" s="1"/>
  <c r="F85" i="3" s="1"/>
  <c r="B86" i="3" s="1"/>
  <c r="D86" i="3" l="1"/>
  <c r="E86" i="3" s="1"/>
  <c r="F86" i="3" s="1"/>
  <c r="B87" i="3" s="1"/>
  <c r="D87" i="3" l="1"/>
  <c r="E87" i="3" s="1"/>
  <c r="F87" i="3" s="1"/>
  <c r="B88" i="3" s="1"/>
  <c r="D88" i="3" l="1"/>
  <c r="E88" i="3" s="1"/>
  <c r="F88" i="3"/>
  <c r="B89" i="3" s="1"/>
  <c r="D89" i="3" l="1"/>
  <c r="E89" i="3" s="1"/>
  <c r="F89" i="3" s="1"/>
  <c r="B90" i="3" s="1"/>
  <c r="D90" i="3" l="1"/>
  <c r="E90" i="3" s="1"/>
  <c r="F90" i="3" s="1"/>
  <c r="B91" i="3" s="1"/>
  <c r="D91" i="3" l="1"/>
  <c r="E91" i="3" s="1"/>
  <c r="F91" i="3" s="1"/>
  <c r="B92" i="3" s="1"/>
  <c r="D92" i="3" l="1"/>
  <c r="E92" i="3" s="1"/>
  <c r="F92" i="3" s="1"/>
  <c r="B93" i="3" s="1"/>
  <c r="D93" i="3" l="1"/>
  <c r="E93" i="3" s="1"/>
  <c r="F93" i="3"/>
  <c r="B94" i="3" s="1"/>
  <c r="D94" i="3" l="1"/>
  <c r="E94" i="3" s="1"/>
  <c r="F94" i="3" s="1"/>
  <c r="B95" i="3" s="1"/>
  <c r="D95" i="3" l="1"/>
  <c r="E95" i="3" s="1"/>
  <c r="F95" i="3" s="1"/>
  <c r="B96" i="3" s="1"/>
  <c r="D96" i="3" l="1"/>
  <c r="E96" i="3" s="1"/>
  <c r="F96" i="3" s="1"/>
  <c r="B97" i="3" s="1"/>
  <c r="D97" i="3" l="1"/>
  <c r="E97" i="3" s="1"/>
  <c r="F97" i="3" s="1"/>
  <c r="B98" i="3" s="1"/>
  <c r="D98" i="3" l="1"/>
  <c r="E98" i="3" s="1"/>
  <c r="F98" i="3"/>
  <c r="B99" i="3" s="1"/>
  <c r="D99" i="3" l="1"/>
  <c r="E99" i="3" s="1"/>
  <c r="F99" i="3"/>
  <c r="B100" i="3" s="1"/>
  <c r="D100" i="3" l="1"/>
  <c r="E100" i="3" s="1"/>
  <c r="F100" i="3"/>
  <c r="B101" i="3" s="1"/>
  <c r="D101" i="3" l="1"/>
  <c r="E101" i="3" s="1"/>
  <c r="F101" i="3" s="1"/>
  <c r="B102" i="3" s="1"/>
  <c r="D102" i="3" l="1"/>
  <c r="E102" i="3" s="1"/>
  <c r="F102" i="3" s="1"/>
  <c r="B103" i="3" s="1"/>
  <c r="D103" i="3" l="1"/>
  <c r="E103" i="3" s="1"/>
  <c r="F103" i="3" s="1"/>
  <c r="B104" i="3" s="1"/>
  <c r="D104" i="3" l="1"/>
  <c r="E104" i="3" s="1"/>
  <c r="F104" i="3" s="1"/>
  <c r="B105" i="3" s="1"/>
  <c r="D105" i="3" l="1"/>
  <c r="E105" i="3" s="1"/>
  <c r="F105" i="3" s="1"/>
  <c r="B106" i="3" s="1"/>
  <c r="D106" i="3" l="1"/>
  <c r="E106" i="3" s="1"/>
  <c r="F106" i="3" s="1"/>
  <c r="B107" i="3" s="1"/>
  <c r="D107" i="3" l="1"/>
  <c r="E107" i="3" s="1"/>
  <c r="F107" i="3" s="1"/>
  <c r="B108" i="3" s="1"/>
  <c r="D108" i="3" l="1"/>
  <c r="E108" i="3" s="1"/>
  <c r="F108" i="3" s="1"/>
  <c r="B109" i="3" s="1"/>
  <c r="D109" i="3" l="1"/>
  <c r="E109" i="3" s="1"/>
  <c r="F109" i="3" s="1"/>
  <c r="B110" i="3" s="1"/>
  <c r="D110" i="3" l="1"/>
  <c r="E110" i="3" s="1"/>
  <c r="F110" i="3" s="1"/>
  <c r="B111" i="3" s="1"/>
  <c r="D111" i="3" l="1"/>
  <c r="E111" i="3" s="1"/>
  <c r="F111" i="3" s="1"/>
  <c r="B112" i="3" s="1"/>
  <c r="D112" i="3" l="1"/>
  <c r="E112" i="3" s="1"/>
  <c r="F112" i="3" s="1"/>
  <c r="B113" i="3" s="1"/>
  <c r="D113" i="3" l="1"/>
  <c r="E113" i="3" s="1"/>
  <c r="F113" i="3" s="1"/>
  <c r="B114" i="3" s="1"/>
  <c r="D114" i="3" l="1"/>
  <c r="E114" i="3" s="1"/>
  <c r="F114" i="3"/>
  <c r="B115" i="3" s="1"/>
  <c r="D115" i="3" l="1"/>
  <c r="E115" i="3" s="1"/>
  <c r="F115" i="3" s="1"/>
  <c r="B116" i="3" s="1"/>
  <c r="D116" i="3" l="1"/>
  <c r="E116" i="3" s="1"/>
  <c r="F116" i="3"/>
  <c r="B117" i="3" s="1"/>
  <c r="D117" i="3" l="1"/>
  <c r="E117" i="3" s="1"/>
  <c r="F117" i="3" s="1"/>
  <c r="B118" i="3" s="1"/>
  <c r="D118" i="3" l="1"/>
  <c r="E118" i="3" s="1"/>
  <c r="F118" i="3"/>
  <c r="B119" i="3" s="1"/>
  <c r="D119" i="3" l="1"/>
  <c r="E119" i="3" s="1"/>
  <c r="F119" i="3" s="1"/>
  <c r="B120" i="3" s="1"/>
  <c r="D120" i="3" l="1"/>
  <c r="E120" i="3" s="1"/>
  <c r="F120" i="3"/>
  <c r="B121" i="3" s="1"/>
  <c r="D121" i="3" l="1"/>
  <c r="E121" i="3" s="1"/>
  <c r="F121" i="3" s="1"/>
  <c r="B122" i="3" s="1"/>
  <c r="D122" i="3" l="1"/>
  <c r="E122" i="3" s="1"/>
  <c r="F122" i="3"/>
  <c r="B123" i="3" s="1"/>
  <c r="D123" i="3" l="1"/>
  <c r="E123" i="3" s="1"/>
  <c r="F123" i="3"/>
</calcChain>
</file>

<file path=xl/sharedStrings.xml><?xml version="1.0" encoding="utf-8"?>
<sst xmlns="http://schemas.openxmlformats.org/spreadsheetml/2006/main" count="564" uniqueCount="477">
  <si>
    <t>Smashpoint Pickleball – Master Assumptions</t>
  </si>
  <si>
    <t>Category</t>
  </si>
  <si>
    <t>Value</t>
  </si>
  <si>
    <t>Notes</t>
  </si>
  <si>
    <t>Project Name</t>
  </si>
  <si>
    <t>Smashpoint Pickleball</t>
  </si>
  <si>
    <t>Location (City/State)</t>
  </si>
  <si>
    <t>Lorton, VA</t>
  </si>
  <si>
    <t>Start Date (MMM-YYYY)</t>
  </si>
  <si>
    <t>Jan-2026</t>
  </si>
  <si>
    <t>Number of Courts</t>
  </si>
  <si>
    <t>Days Open / Week</t>
  </si>
  <si>
    <t>Hours Open / Day</t>
  </si>
  <si>
    <t>Peak Hours Share (of day)</t>
  </si>
  <si>
    <t>Utilization – Peak</t>
  </si>
  <si>
    <t>Utilization – Off-Peak</t>
  </si>
  <si>
    <t>Court Rate – Peak ($/hr)</t>
  </si>
  <si>
    <t>Court Rate – Off-Peak ($/hr)</t>
  </si>
  <si>
    <t>Turn Time Between Bookings (min)</t>
  </si>
  <si>
    <t>Lessons per Week</t>
  </si>
  <si>
    <t>Lesson Rate ($)</t>
  </si>
  <si>
    <t>League Teams per Season</t>
  </si>
  <si>
    <t>League Team Fee ($ per season)</t>
  </si>
  <si>
    <t>Seasons per Year</t>
  </si>
  <si>
    <t>Retail Gross ($/mo)</t>
  </si>
  <si>
    <t>Retail COGS %</t>
  </si>
  <si>
    <t>Cafe Gross ($/mo)</t>
  </si>
  <si>
    <t>Cafe COGS %</t>
  </si>
  <si>
    <t>Front Desk Hours / Week</t>
  </si>
  <si>
    <t>Front Desk Wage ($/hr)</t>
  </si>
  <si>
    <t>Coaches Hours / Week</t>
  </si>
  <si>
    <t>Coach Wage ($/hr)</t>
  </si>
  <si>
    <t>Cafe Hours / Week</t>
  </si>
  <si>
    <t>Cafe Wage ($/hr)</t>
  </si>
  <si>
    <t>Base Rent ($/mo)</t>
  </si>
  <si>
    <t>Utilities ($/mo)</t>
  </si>
  <si>
    <t>Insurance ($/mo)</t>
  </si>
  <si>
    <t>Marketing ($/mo)</t>
  </si>
  <si>
    <t>Software ($/mo)</t>
  </si>
  <si>
    <t>Cleaning &amp; Supplies ($/mo)</t>
  </si>
  <si>
    <t>Misc. Opex ($/mo)</t>
  </si>
  <si>
    <t>Opening Cash Balance ($)</t>
  </si>
  <si>
    <t>Loan Principal ($)</t>
  </si>
  <si>
    <t>Loan APR (annual %)</t>
  </si>
  <si>
    <t>Loan Term (months)</t>
  </si>
  <si>
    <t>Capital Expenditures and Sources/Uses</t>
  </si>
  <si>
    <t>Vendor/Notes</t>
  </si>
  <si>
    <t>Qty</t>
  </si>
  <si>
    <t>Unit Cost</t>
  </si>
  <si>
    <t>Line Total</t>
  </si>
  <si>
    <t>Court surfacing &amp; paint</t>
  </si>
  <si>
    <t>Portable dividers/fencing</t>
  </si>
  <si>
    <t>Lighting (LED + install)</t>
  </si>
  <si>
    <t>HVAC upgrades</t>
  </si>
  <si>
    <t>Acoustic treatment</t>
  </si>
  <si>
    <t>Nets &amp; posts</t>
  </si>
  <si>
    <t>Lockers/benches/seating</t>
  </si>
  <si>
    <t>Pro shop fit-out</t>
  </si>
  <si>
    <t>Cafe equipment &amp; fit-out</t>
  </si>
  <si>
    <t>Flooring (non-court)</t>
  </si>
  <si>
    <t>Permits/design/engineering</t>
  </si>
  <si>
    <t>Subtotal:</t>
  </si>
  <si>
    <t>Contingency (10% of Subtotal):</t>
  </si>
  <si>
    <t>Total CapEx:</t>
  </si>
  <si>
    <t>Sources &amp; Uses</t>
  </si>
  <si>
    <t>Item</t>
  </si>
  <si>
    <t>Amount</t>
  </si>
  <si>
    <t>Equity (plug)</t>
  </si>
  <si>
    <t>SBA/Loan Proceeds</t>
  </si>
  <si>
    <t>Total Sources</t>
  </si>
  <si>
    <t>Uses: CapEx Total</t>
  </si>
  <si>
    <t>Opening Cash Reserve</t>
  </si>
  <si>
    <t>Total Uses</t>
  </si>
  <si>
    <t>Loan Amortization (linked to Assumptions)</t>
  </si>
  <si>
    <t>Month #</t>
  </si>
  <si>
    <t>Beg Balance</t>
  </si>
  <si>
    <t>Payment</t>
  </si>
  <si>
    <t>Interest</t>
  </si>
  <si>
    <t>Principal</t>
  </si>
  <si>
    <t>End Balance</t>
  </si>
  <si>
    <t>Monthly Rate</t>
  </si>
  <si>
    <t>Monthly Payment (PMT)</t>
  </si>
  <si>
    <t>Monthly Revenue Model (first 36 months)</t>
  </si>
  <si>
    <t>Uses court utilization + pricing + memberships + lessons + leagues + retail/cafe.</t>
  </si>
  <si>
    <t>Month</t>
  </si>
  <si>
    <t>Court Revenue</t>
  </si>
  <si>
    <t>Memberships</t>
  </si>
  <si>
    <t>Lessons</t>
  </si>
  <si>
    <t>Leagues</t>
  </si>
  <si>
    <t>Retail</t>
  </si>
  <si>
    <t>Cafe</t>
  </si>
  <si>
    <t>Total Revenue</t>
  </si>
  <si>
    <t>Weekly Staffing Plan (links to Assumptions)</t>
  </si>
  <si>
    <t>Role</t>
  </si>
  <si>
    <t>Hours/Week</t>
  </si>
  <si>
    <t>Wage $/hr</t>
  </si>
  <si>
    <t>Weekly Payroll</t>
  </si>
  <si>
    <t>Monthly Payroll (≈4.33x)</t>
  </si>
  <si>
    <t>Front Desk</t>
  </si>
  <si>
    <t>Coaches</t>
  </si>
  <si>
    <t>Totals</t>
  </si>
  <si>
    <t>Operating Expenses (Monthly)</t>
  </si>
  <si>
    <t>Amount ($/mo)</t>
  </si>
  <si>
    <t>Base Rent</t>
  </si>
  <si>
    <t>Utilities</t>
  </si>
  <si>
    <t>Insurance</t>
  </si>
  <si>
    <t>Marketing</t>
  </si>
  <si>
    <t>Software</t>
  </si>
  <si>
    <t>Cleaning &amp; Supplies</t>
  </si>
  <si>
    <t>Misc. Opex</t>
  </si>
  <si>
    <t>Total OPEX (incl. rent)</t>
  </si>
  <si>
    <t>COGS Helpers</t>
  </si>
  <si>
    <t>Retail COGS $/mo</t>
  </si>
  <si>
    <t>Cafe COGS $/mo</t>
  </si>
  <si>
    <t>Total COGS $/mo</t>
  </si>
  <si>
    <t>Profit &amp; Loss – Monthly (36 months)</t>
  </si>
  <si>
    <t>COGS</t>
  </si>
  <si>
    <t>Payroll</t>
  </si>
  <si>
    <t>OPEX</t>
  </si>
  <si>
    <t>EBITDA</t>
  </si>
  <si>
    <t>EBT</t>
  </si>
  <si>
    <t>Cash Flow – Monthly (36 months)</t>
  </si>
  <si>
    <t>Debt Service (PMT)</t>
  </si>
  <si>
    <t>CapEx</t>
  </si>
  <si>
    <t>Net Cash Flow</t>
  </si>
  <si>
    <t>Cash Balance</t>
  </si>
  <si>
    <t>Key Performance Indicators</t>
  </si>
  <si>
    <t>Metric</t>
  </si>
  <si>
    <t>Average Monthly Utilization (model input)</t>
  </si>
  <si>
    <t>Revenue / Court / Hour (approx)</t>
  </si>
  <si>
    <t>Payroll % of Revenue (Month 1)</t>
  </si>
  <si>
    <t>EBITDA Margin (Month 1)</t>
  </si>
  <si>
    <t>Cash Runway (months)</t>
  </si>
  <si>
    <t>Preventive Maintenance Schedule</t>
  </si>
  <si>
    <t>Area/Asset</t>
  </si>
  <si>
    <t>Task</t>
  </si>
  <si>
    <t>Frequency</t>
  </si>
  <si>
    <t>Next Due</t>
  </si>
  <si>
    <t>Assigned To</t>
  </si>
  <si>
    <t>Status</t>
  </si>
  <si>
    <t>Courts (surface/lines)</t>
  </si>
  <si>
    <t>Inspect/clean; check wear</t>
  </si>
  <si>
    <t>Monthly</t>
  </si>
  <si>
    <t>Open</t>
  </si>
  <si>
    <t>Lighting</t>
  </si>
  <si>
    <t>Test lux levels; replace failures</t>
  </si>
  <si>
    <t>Quarterly</t>
  </si>
  <si>
    <t>HVAC</t>
  </si>
  <si>
    <t>Filter change; service</t>
  </si>
  <si>
    <t>Nets/Posts</t>
  </si>
  <si>
    <t>Tension &amp; wear check</t>
  </si>
  <si>
    <t>Safety</t>
  </si>
  <si>
    <t>First-aid kits; AED check</t>
  </si>
  <si>
    <t>Incident Log</t>
  </si>
  <si>
    <t>Date</t>
  </si>
  <si>
    <t>Description</t>
  </si>
  <si>
    <t>Injury? (Y/N)</t>
  </si>
  <si>
    <t>Employee Involved</t>
  </si>
  <si>
    <t>Action Taken</t>
  </si>
  <si>
    <t>Follow-up Due</t>
  </si>
  <si>
    <t>Leagues &amp; Events Tracker</t>
  </si>
  <si>
    <t>Event/League</t>
  </si>
  <si>
    <t>Start</t>
  </si>
  <si>
    <t>End</t>
  </si>
  <si>
    <t>Teams/Players</t>
  </si>
  <si>
    <t>Entry Fee</t>
  </si>
  <si>
    <t>Revenue</t>
  </si>
  <si>
    <t>Staff Hours</t>
  </si>
  <si>
    <t>Use generators to export round-robin/brackets and paste key totals here.</t>
  </si>
  <si>
    <t>How to Use This Workbook</t>
  </si>
  <si>
    <t>1) Start at the Assumptions tab. Update blue cells (pricing, utilization, wages, rent, loan).</t>
  </si>
  <si>
    <t>2) Fill CapEx &amp; Sources. Adjust line items and contingency.</t>
  </si>
  <si>
    <t>3) Revenue, P&amp;L, Cash Flow, and KPIs will auto-update.</t>
  </si>
  <si>
    <t>Helpful External Templates (paste exports into tabs):</t>
  </si>
  <si>
    <t>Vertex42 Loan Amortization (Excel)</t>
  </si>
  <si>
    <t>LeagueLobster Round-Robin Generator</t>
  </si>
  <si>
    <t>Bracket Maker – Round Robin</t>
  </si>
  <si>
    <t>Marketing Budget Templates</t>
  </si>
  <si>
    <t>Notes:</t>
  </si>
  <si>
    <t>• Replace placeholder CapEx with vendor quotes.
• If you prefer Google Sheets, upload this .xlsx—formulas will port cleanly.
• Extend P&amp;L/Cash Flow from 36 → 60 months by filling down.</t>
  </si>
  <si>
    <t>Membership Growth Rate</t>
  </si>
  <si>
    <t>Members</t>
  </si>
  <si>
    <t>Ideally 24 per week</t>
  </si>
  <si>
    <t>Initial Members</t>
  </si>
  <si>
    <t>Ideally 28 teams</t>
  </si>
  <si>
    <t>Ideally want this to be around 4500 per month</t>
  </si>
  <si>
    <t>Ideally want this to be around 5000 per month</t>
  </si>
  <si>
    <t>Should be around 40 per week</t>
  </si>
  <si>
    <t>Predicted Cash Flow</t>
  </si>
  <si>
    <t>Predicted P&amp;L</t>
  </si>
  <si>
    <t>Expected OPEX</t>
  </si>
  <si>
    <t>PeakHoursShare*UtilPeak + (1-PeakHoursShare)*UtilOffPeak</t>
  </si>
  <si>
    <t>Formula</t>
  </si>
  <si>
    <t>Definition</t>
  </si>
  <si>
    <t>Weighted usage rate</t>
  </si>
  <si>
    <t>CourtRevenue / (Courts * Hours * Util * Days * Weeks)</t>
  </si>
  <si>
    <t>Efficiency measurement</t>
  </si>
  <si>
    <t>MonthlyPayroll / TotalRevenue</t>
  </si>
  <si>
    <t>EBITDA / Revenue</t>
  </si>
  <si>
    <t>Initial Cost ratio of Payroll</t>
  </si>
  <si>
    <t>Initial Profitability margin</t>
  </si>
  <si>
    <t>Debt Reserve (Surplus Cash)</t>
  </si>
  <si>
    <t>Originally 30K but taking conservative approach</t>
  </si>
  <si>
    <t>Originally 4.5K but taking conservative approach</t>
  </si>
  <si>
    <t>Estimated to be 2K but doubling value for conservative approach</t>
  </si>
  <si>
    <t>Estimated to be 4K but emphasizing substantial marketing campaign</t>
  </si>
  <si>
    <t>Estimated to be 0.8K but emphasizing strong software support</t>
  </si>
  <si>
    <t>Originally 1.5K but taking conservative approach</t>
  </si>
  <si>
    <t>Estimated to be 1.2K but doubling value for conservative approach</t>
  </si>
  <si>
    <t>Security System</t>
  </si>
  <si>
    <t>Access Control (Doors)</t>
  </si>
  <si>
    <t>Net Adds / Month (est.)</t>
  </si>
  <si>
    <t>Churned / Month (est.)</t>
  </si>
  <si>
    <t>Member Mix: %Standard</t>
  </si>
  <si>
    <t>Member Mix: %Plus</t>
  </si>
  <si>
    <t>ARPU (Members only)</t>
  </si>
  <si>
    <t>Total MRR (Members + Day Pass)</t>
  </si>
  <si>
    <t>MRR (Annualized equivalents)</t>
  </si>
  <si>
    <t>MRR (Members only)</t>
  </si>
  <si>
    <t>KPIs (auto)</t>
  </si>
  <si>
    <t>Revenue / Month</t>
  </si>
  <si>
    <t>Passes / Month</t>
  </si>
  <si>
    <t>Price</t>
  </si>
  <si>
    <t>Non‑Member Day Pass Revenue</t>
  </si>
  <si>
    <t>TOTAL</t>
  </si>
  <si>
    <t>Founders (limited)</t>
  </si>
  <si>
    <t>Corporate (per seat)</t>
  </si>
  <si>
    <t>Family (3 people)</t>
  </si>
  <si>
    <t>Plus</t>
  </si>
  <si>
    <t>Standard</t>
  </si>
  <si>
    <t>Weekday AM (Off‑Peak)</t>
  </si>
  <si>
    <t>Annual MRR (monthly equivalent)</t>
  </si>
  <si>
    <t>Monthly MRR</t>
  </si>
  <si>
    <t>% Monthly Buyers</t>
  </si>
  <si>
    <t>Annual Price</t>
  </si>
  <si>
    <t>Monthly Price</t>
  </si>
  <si>
    <t>Members (calc)</t>
  </si>
  <si>
    <t>Tier</t>
  </si>
  <si>
    <t>Calculated Members &amp; Revenue</t>
  </si>
  <si>
    <t>% of Members</t>
  </si>
  <si>
    <t>Member Distribution by Tier (sums to 100%)</t>
  </si>
  <si>
    <t>New Member Adds / Month</t>
  </si>
  <si>
    <t>Churn (monthly, starting point)</t>
  </si>
  <si>
    <t>Monthly Day Pass Count (avg)</t>
  </si>
  <si>
    <t>Day Pass Price (Non‑Member)</t>
  </si>
  <si>
    <t>% Monthly vs Annual purchasers (monthly)</t>
  </si>
  <si>
    <t>Assumptions (Edit)</t>
  </si>
  <si>
    <t>Y</t>
  </si>
  <si>
    <t>Requires 10+ seats; pooled billing</t>
  </si>
  <si>
    <t>Addl. family +$25/mo each</t>
  </si>
  <si>
    <t>Longer booking, more discounts, extra guest passes</t>
  </si>
  <si>
    <t>Best for 1–3x/week players</t>
  </si>
  <si>
    <t>Access M‑F before 12pm; limited booking</t>
  </si>
  <si>
    <t>N</t>
  </si>
  <si>
    <t>Single‑day access (no advance booking)</t>
  </si>
  <si>
    <t>Non‑Member Day Pass</t>
  </si>
  <si>
    <t>Freeze Months / yr</t>
  </si>
  <si>
    <t>Cancellation Window (hrs)</t>
  </si>
  <si>
    <t>League Priority (Y/N)</t>
  </si>
  <si>
    <t>Lesson Discount (%)</t>
  </si>
  <si>
    <t>Guest Passes / mo</t>
  </si>
  <si>
    <t>Open Play (member price)</t>
  </si>
  <si>
    <t>Court Discount (%)</t>
  </si>
  <si>
    <t>Booking Window (days)</t>
  </si>
  <si>
    <t>Initiation Fee</t>
  </si>
  <si>
    <t>Annual Price (if offered)</t>
  </si>
  <si>
    <t>Smashpoint Memberships – Tiers, Pricing, Revenue &amp; KPIs</t>
  </si>
  <si>
    <t>Total Members</t>
  </si>
  <si>
    <t>Membership Fee ($/mo) (ARPU)</t>
  </si>
  <si>
    <t>• Tweak utilizations (B14:B17), reservation share (B21), &amp; booking uplift (B19) to match observed demand.</t>
  </si>
  <si>
    <t>• Link Total Members (F14) to Memberships! cell for live updates (optional).</t>
  </si>
  <si>
    <t>• Link 'Revenue Model' → Court Revenue to cell B51 (TOTAL).</t>
  </si>
  <si>
    <t>Wire-up instructions</t>
  </si>
  <si>
    <t>Mix: % Member revenue (open play)</t>
  </si>
  <si>
    <t>Mix: % Member revenue (reservations, attended)</t>
  </si>
  <si>
    <t>Yield ($ per attended sold court-hour)</t>
  </si>
  <si>
    <t>Utilization (attended hours / available)</t>
  </si>
  <si>
    <t>Court-hours sold – Open Play</t>
  </si>
  <si>
    <t>Court-hours sold – Reservations (attended)</t>
  </si>
  <si>
    <t>No-show charged revenue ($/mo)</t>
  </si>
  <si>
    <t>Court Revenue – TOTAL ($/mo)</t>
  </si>
  <si>
    <t>Court Revenue – Open Play ($/mo)</t>
  </si>
  <si>
    <t>Court Revenue – Reservations (incl. no-shows) ($/mo)</t>
  </si>
  <si>
    <t>TOTALS &amp; KPIs</t>
  </si>
  <si>
    <t>Open Play TOTAL</t>
  </si>
  <si>
    <t>Non-members</t>
  </si>
  <si>
    <t>Revenue ($)</t>
  </si>
  <si>
    <t>Avg price/session</t>
  </si>
  <si>
    <t>Players per hour</t>
  </si>
  <si>
    <t>Sessions (blocks)</t>
  </si>
  <si>
    <t>Court-hours allocated</t>
  </si>
  <si>
    <t>Segment</t>
  </si>
  <si>
    <t>OPEN PLAY – Revenue</t>
  </si>
  <si>
    <t>No-show charged revenue (policy-based, not in hours)</t>
  </si>
  <si>
    <t>Reservations TOTAL</t>
  </si>
  <si>
    <t>Revenue ($, attended)</t>
  </si>
  <si>
    <t>Avg rate ($/hr)</t>
  </si>
  <si>
    <t>Total hours (attended)</t>
  </si>
  <si>
    <t>Off-peak hours sold</t>
  </si>
  <si>
    <t>Peak hours sold</t>
  </si>
  <si>
    <t>RESERVATIONS – Revenue</t>
  </si>
  <si>
    <t>Blended off-peak utilization (wkdy/wknd)</t>
  </si>
  <si>
    <t>Blended peak utilization (wkdy/wknd)</t>
  </si>
  <si>
    <t>Open Play hours share</t>
  </si>
  <si>
    <t>Reservation hours share</t>
  </si>
  <si>
    <t>Bookings per court-day capacity (duration + turn)</t>
  </si>
  <si>
    <t>Off-peak hours per month</t>
  </si>
  <si>
    <t>Peak hours per month</t>
  </si>
  <si>
    <t>Court-hours available per month</t>
  </si>
  <si>
    <t>HELPERS</t>
  </si>
  <si>
    <t>Reservation share of total court time (vs open play)</t>
  </si>
  <si>
    <t>No-show rate (paid/no-refund portion)</t>
  </si>
  <si>
    <t>Booking window uplift (members vs non)</t>
  </si>
  <si>
    <t>Member booking share of reservations</t>
  </si>
  <si>
    <t>Baseline utilization – Off-peak (weekend)</t>
  </si>
  <si>
    <t>Avg open play sessions per member / month:</t>
  </si>
  <si>
    <t>Baseline utilization – Peak (weekend)</t>
  </si>
  <si>
    <t>Avg reservations per reserving member / month:</t>
  </si>
  <si>
    <t>Baseline utilization – Off-peak (weekday)</t>
  </si>
  <si>
    <t>% Members who reserve monthly:</t>
  </si>
  <si>
    <t>Baseline utilization – Peak (weekday)</t>
  </si>
  <si>
    <t>Total Members:</t>
  </si>
  <si>
    <t>Liberal Estimate</t>
  </si>
  <si>
    <t>Conservative Estimate</t>
  </si>
  <si>
    <t>INPUTS – Demand &amp; Behavior</t>
  </si>
  <si>
    <t>INPUTS – Membership Link (optional)</t>
  </si>
  <si>
    <t>Open Play players per court capacity (per hour)</t>
  </si>
  <si>
    <t>Turn time between bookings (min)</t>
  </si>
  <si>
    <t>Open Play session length (min)</t>
  </si>
  <si>
    <t>Avg reservation duration (min)</t>
  </si>
  <si>
    <t>Open Play price – Non-member ($/session)</t>
  </si>
  <si>
    <t>Weekend share of days</t>
  </si>
  <si>
    <t>Open Play price – Member ($/session)</t>
  </si>
  <si>
    <t>Peak hours share of day</t>
  </si>
  <si>
    <t>Member discount on court rate</t>
  </si>
  <si>
    <t>Hours open per day</t>
  </si>
  <si>
    <t>Off-peak rate – Non-member ($/court-hr)</t>
  </si>
  <si>
    <t>Days open per week</t>
  </si>
  <si>
    <t>Peak rate – Non-member ($/court-hr)</t>
  </si>
  <si>
    <t>Courts (count)</t>
  </si>
  <si>
    <t>INPUTS – Pricing</t>
  </si>
  <si>
    <t>INPUTS – Facility &amp; Scheduling</t>
  </si>
  <si>
    <t>Paste into your master workbook. Link to Memberships tab for live members if desired.</t>
  </si>
  <si>
    <t>Court Revenue – Advanced Model (Peak/Off-Peak • Open Play • Members vs Non-Members)</t>
  </si>
  <si>
    <t>Year 3 (M25–M36)</t>
  </si>
  <si>
    <t>Year 2 (M13–M24)</t>
  </si>
  <si>
    <t>Year 1 (M1–M12)</t>
  </si>
  <si>
    <t>TOTAL Court Revenue</t>
  </si>
  <si>
    <t>Open Play Revenue</t>
  </si>
  <si>
    <t>Reservation Revenue (incl. no-shows)</t>
  </si>
  <si>
    <t>Members (avg)</t>
  </si>
  <si>
    <t>Year</t>
  </si>
  <si>
    <t>Yearly Summary</t>
  </si>
  <si>
    <t>Q12 (M34–M36)</t>
  </si>
  <si>
    <t>Q11 (M31–M33)</t>
  </si>
  <si>
    <t>Q10 (M28–M30)</t>
  </si>
  <si>
    <t>Q9 (M25–M27)</t>
  </si>
  <si>
    <t>Q8 (M22–M24)</t>
  </si>
  <si>
    <t>Q7 (M19–M21)</t>
  </si>
  <si>
    <t>Q6 (M16–M18)</t>
  </si>
  <si>
    <t>Q5 (M13–M15)</t>
  </si>
  <si>
    <t>Q4 (M10–M12)</t>
  </si>
  <si>
    <t>Q3 (M7–M9)</t>
  </si>
  <si>
    <t>Q2 (M4–M6)</t>
  </si>
  <si>
    <t>Q1 (M1–M3)</t>
  </si>
  <si>
    <t>Quarter</t>
  </si>
  <si>
    <t>Quarterly Summary</t>
  </si>
  <si>
    <t>M36</t>
  </si>
  <si>
    <t>M35</t>
  </si>
  <si>
    <t>M34</t>
  </si>
  <si>
    <t>M33</t>
  </si>
  <si>
    <t>M32</t>
  </si>
  <si>
    <t>M31</t>
  </si>
  <si>
    <t>M30</t>
  </si>
  <si>
    <t>M29</t>
  </si>
  <si>
    <t>M28</t>
  </si>
  <si>
    <t>M27</t>
  </si>
  <si>
    <t>M26</t>
  </si>
  <si>
    <t>M25</t>
  </si>
  <si>
    <t>M24</t>
  </si>
  <si>
    <t>M23</t>
  </si>
  <si>
    <t>M22</t>
  </si>
  <si>
    <t>M21</t>
  </si>
  <si>
    <t>M20</t>
  </si>
  <si>
    <t>M19</t>
  </si>
  <si>
    <t>M18</t>
  </si>
  <si>
    <t>M17</t>
  </si>
  <si>
    <t>M16</t>
  </si>
  <si>
    <t>M15</t>
  </si>
  <si>
    <t>M14</t>
  </si>
  <si>
    <t>M13</t>
  </si>
  <si>
    <t>M12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</si>
  <si>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</si>
  <si>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</si>
  <si>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</si>
  <si>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</si>
  <si>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</si>
  <si>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</si>
  <si>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</si>
  <si>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</si>
  <si>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</si>
  <si>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</si>
  <si>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</si>
  <si>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TOTAL Court Revenue ($/mo)</t>
  </si>
  <si>
    <t>Non-member Open Play Revenue</t>
  </si>
  <si>
    <t>Non-member Open Play Sessions</t>
  </si>
  <si>
    <t>Non-member Open Play Hours</t>
  </si>
  <si>
    <t>Member Open Play Revenue</t>
  </si>
  <si>
    <t>Member Open Play Sessions</t>
  </si>
  <si>
    <t>Member Open Play Hours (capped)</t>
  </si>
  <si>
    <t>Member Open Play Hours (raw)</t>
  </si>
  <si>
    <t>No-show Revenue</t>
  </si>
  <si>
    <t>Reservation Revenue (attended)</t>
  </si>
  <si>
    <t>Avg Reservation Rate ($/hr)</t>
  </si>
  <si>
    <t>Non-member Reservation Hours (actual)</t>
  </si>
  <si>
    <t>Non-member Reservation Demand Hours</t>
  </si>
  <si>
    <t>Member Reservation Hours (capped)</t>
  </si>
  <si>
    <t>Member Reservation Hours (raw)</t>
  </si>
  <si>
    <t>Seasonality Index</t>
  </si>
  <si>
    <t>Blended Member Reservation Rate ($/hr)</t>
  </si>
  <si>
    <t>Blended Non-member Reservation Rate ($/hr)</t>
  </si>
  <si>
    <t>Reservation Rates (blended)</t>
  </si>
  <si>
    <t>Open Play Session Length (hours)</t>
  </si>
  <si>
    <t>Reservation Duration (hours)</t>
  </si>
  <si>
    <t>Reservation Capacity Hours / month</t>
  </si>
  <si>
    <t>Reservation Capacity (attended hours cap)</t>
  </si>
  <si>
    <t>Blended Off-Peak Utilization – Non-members</t>
  </si>
  <si>
    <t>Blended Peak Utilization – Non-members</t>
  </si>
  <si>
    <t>Blended Utilization – Non-members</t>
  </si>
  <si>
    <t>Open Play Hours Share</t>
  </si>
  <si>
    <t>Off-Peak Hours / month</t>
  </si>
  <si>
    <t>Blended Off-Peak Utilization – Members</t>
  </si>
  <si>
    <t>Peak Hours / month</t>
  </si>
  <si>
    <t>Blended Peak Utilization – Members</t>
  </si>
  <si>
    <t>Total Court Hours / month</t>
  </si>
  <si>
    <t>Blended Utilization</t>
  </si>
  <si>
    <t>Avg open-play sessions / member / month</t>
  </si>
  <si>
    <t>Non-member reservation cap (% of reservation capacity)</t>
  </si>
  <si>
    <t>Marketing uplift – Non-members (reservations)</t>
  </si>
  <si>
    <t>Avg reservations per reserving member / month</t>
  </si>
  <si>
    <t>Baseline utilization – Off-peak (weekend) – Non-members</t>
  </si>
  <si>
    <t>% Members who reserve monthly</t>
  </si>
  <si>
    <t>Baseline utilization – Peak (weekend) – Non-members</t>
  </si>
  <si>
    <t>Max Member Capacity (optional)</t>
  </si>
  <si>
    <t>Baseline utilization – Off-peak (weekday) – Non-members</t>
  </si>
  <si>
    <t>Monthly Member Growth Rate (%)</t>
  </si>
  <si>
    <t>Baseline utilization – Peak (weekday) – Non-members</t>
  </si>
  <si>
    <t>Starting Members (Month 1)</t>
  </si>
  <si>
    <t>INPUTS – Non-member Reservation Demand</t>
  </si>
  <si>
    <t>INPUTS – Membership Growth (drives demand)</t>
  </si>
  <si>
    <t>Member booking share of reservations (target)</t>
  </si>
  <si>
    <t>INPUTS – Policy &amp; Behavior (Members)</t>
  </si>
  <si>
    <t>Baseline utilization – Off-peak (weekend) – Members</t>
  </si>
  <si>
    <t>Baseline utilization – Peak (weekend) – Members</t>
  </si>
  <si>
    <t>Baseline utilization – Off-peak (weekday) – Members</t>
  </si>
  <si>
    <t>Baseline utilization – Peak (weekday) – Members</t>
  </si>
  <si>
    <t>SEASONALITY – Monthly Index</t>
  </si>
  <si>
    <t>INPUTS – Utilization Baselines (Members)</t>
  </si>
  <si>
    <t>INPUTS – Facility &amp; Schedule</t>
  </si>
  <si>
    <t>Seasonality Index scales demand for member &amp; non-member reservations and open play.</t>
  </si>
  <si>
    <t>Membership-Driven Court Revenue Model – 36 months (Monthly) – v4 (Seasonality)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</si>
  <si>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</si>
  <si>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</si>
  <si>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</si>
  <si>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</si>
  <si>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</si>
  <si>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</si>
  <si>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</si>
  <si>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</si>
  <si>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</si>
  <si>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</si>
  <si>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</si>
  <si>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</si>
  <si>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Advanced</t>
  </si>
  <si>
    <t>Highest Non-Founder Tier</t>
  </si>
  <si>
    <t>Limited quantity; merch &amp; early event access (first 100)</t>
  </si>
  <si>
    <t>Electronics (TVs,Tablets,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</si>
</sst>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&quot;$&quot;#,##0.00"/>
    <numFmt numFmtId="167" formatCode="\$#,##0.00"/>
    <numFmt numFmtId="168" formatCode="#,##0.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0" fontId="0" fillId="0" borderId="0" xfId="0" applyNumberFormat="1"/>
    <xf numFmtId="9" fontId="0" fillId="0" borderId="0" xfId="1" applyFont="1"/>
    <xf numFmtId="0" fontId="0" fillId="0" borderId="0" xfId="0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0" fontId="3" fillId="2" borderId="1" xfId="0" applyFont="1" applyFill="1" applyBorder="1" applyAlignment="1">
      <alignment wrapText="1"/>
    </xf>
    <xf numFmtId="168" fontId="0" fillId="0" borderId="0" xfId="0" applyNumberFormat="1"/>
    <xf numFmtId="167" fontId="6" fillId="0" borderId="0" xfId="0" applyNumberFormat="1" applyFont="1"/>
    <xf numFmtId="3" fontId="6" fillId="0" borderId="0" xfId="0" applyNumberFormat="1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2" borderId="1" xfId="0" applyFont="1" applyFill="1" applyBorder="1"/>
    <xf numFmtId="168" fontId="6" fillId="0" borderId="0" xfId="0" applyNumberFormat="1" applyFont="1"/>
    <xf numFmtId="0" fontId="7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wrapText="1"/>
    </xf>
    <xf numFmtId="164" fontId="6" fillId="0" borderId="0" xfId="0" applyNumberFormat="1" applyFont="1"/>
    <xf numFmtId="0" fontId="8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12</xdr:row>
      <xdr:rowOff>81915</xdr:rowOff>
    </xdr:from>
    <xdr:to>
      <xdr:col>6</xdr:col>
      <xdr:colOff>1285875</xdr:colOff>
      <xdr:row>33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E84292-FFBA-BDF2-05DD-93939275551E}"/>
            </a:ext>
          </a:extLst>
        </xdr:cNvPr>
        <xdr:cNvSpPr txBox="1"/>
      </xdr:nvSpPr>
      <xdr:spPr>
        <a:xfrm>
          <a:off x="2952750" y="2301240"/>
          <a:ext cx="6162675" cy="3823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MRR (Members only)</a:t>
          </a:r>
          <a:r>
            <a:rPr lang="en-US" sz="1050"/>
            <a:t> – Monthly Recurring Revenue from active members paying monthly.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Monthly Price × Members × % Monthly Buyers</a:t>
          </a:r>
          <a:br>
            <a:rPr lang="en-US" sz="1050"/>
          </a:br>
          <a:r>
            <a:rPr lang="en-US" sz="1050"/>
            <a:t>→ Represents predictable, recurring subscription revenue.</a:t>
          </a:r>
        </a:p>
        <a:p>
          <a:r>
            <a:rPr lang="en-US" sz="1050" b="1"/>
            <a:t>MRR (Annualized equivalents)</a:t>
          </a:r>
          <a:r>
            <a:rPr lang="en-US" sz="1050"/>
            <a:t> – Portion of annual memberships expressed as monthly equivalent.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Annual Price × Members × % Annual Buyers ÷ 12</a:t>
          </a:r>
          <a:br>
            <a:rPr lang="en-US" sz="1050"/>
          </a:br>
          <a:r>
            <a:rPr lang="en-US" sz="1050"/>
            <a:t>→ Normalizes prepaid annual plans for comparison.</a:t>
          </a:r>
        </a:p>
        <a:p>
          <a:r>
            <a:rPr lang="en-US" sz="1050" b="1"/>
            <a:t>Total MRR (Members + Day Pass)</a:t>
          </a:r>
          <a:r>
            <a:rPr lang="en-US" sz="1050"/>
            <a:t> – Combined monthly revenue from members and non-member day passes.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Member MRR + Annualized MRR + (Day Pass Price × Day Pass Count)</a:t>
          </a:r>
          <a:br>
            <a:rPr lang="en-US" sz="1050"/>
          </a:br>
          <a:r>
            <a:rPr lang="en-US" sz="1050"/>
            <a:t>→ Overall recurring and pass-based income per month.</a:t>
          </a:r>
        </a:p>
        <a:p>
          <a:r>
            <a:rPr lang="en-US" sz="1050" b="1"/>
            <a:t>ARPU (Members only)</a:t>
          </a:r>
          <a:r>
            <a:rPr lang="en-US" sz="1050"/>
            <a:t> – Average Revenue Per User.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(Member MRR + Annualized MRR) ÷ Total Members</a:t>
          </a:r>
          <a:br>
            <a:rPr lang="en-US" sz="1050"/>
          </a:br>
          <a:r>
            <a:rPr lang="en-US" sz="1050"/>
            <a:t>→ Indicates average monthly spend per active member.</a:t>
          </a:r>
        </a:p>
        <a:p>
          <a:r>
            <a:rPr lang="en-US" sz="1050" b="1"/>
            <a:t>Member Mix: %Plus</a:t>
          </a:r>
          <a:r>
            <a:rPr lang="en-US" sz="1050"/>
            <a:t> – Percentage of total members in the Plus tier.</a:t>
          </a:r>
          <a:br>
            <a:rPr lang="en-US" sz="1050"/>
          </a:br>
          <a:r>
            <a:rPr lang="en-US" sz="1050"/>
            <a:t>→ Tracks premium-tier adoption; useful for upsell monitoring.</a:t>
          </a:r>
        </a:p>
        <a:p>
          <a:r>
            <a:rPr lang="en-US" sz="1050" b="1"/>
            <a:t>Member Mix: %Standard</a:t>
          </a:r>
          <a:r>
            <a:rPr lang="en-US" sz="1050"/>
            <a:t> – Percentage of total members in the Standard tier.</a:t>
          </a:r>
          <a:br>
            <a:rPr lang="en-US" sz="1050"/>
          </a:br>
          <a:r>
            <a:rPr lang="en-US" sz="1050"/>
            <a:t>→ Core mid-tier population; benchmark for stability.</a:t>
          </a:r>
        </a:p>
        <a:p>
          <a:r>
            <a:rPr lang="en-US" sz="1050" b="1"/>
            <a:t>Churned / Month (est.)</a:t>
          </a:r>
          <a:r>
            <a:rPr lang="en-US" sz="1050"/>
            <a:t> – Estimated members lost per month.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Total Members × Monthly Churn Rate</a:t>
          </a:r>
          <a:br>
            <a:rPr lang="en-US" sz="1050"/>
          </a:br>
          <a:r>
            <a:rPr lang="en-US" sz="1050"/>
            <a:t>→ Shows attrition volume for retention tracking.</a:t>
          </a:r>
        </a:p>
        <a:p>
          <a:r>
            <a:rPr lang="en-US" sz="1050" b="1"/>
            <a:t>Net Adds / Month (est.)</a:t>
          </a:r>
          <a:r>
            <a:rPr lang="en-US" sz="1050"/>
            <a:t> – Net membership growth after churn.</a:t>
          </a:r>
          <a:br>
            <a:rPr lang="en-US" sz="1050"/>
          </a:br>
          <a:r>
            <a:rPr lang="en-US" sz="1050" i="1"/>
            <a:t>Formula:</a:t>
          </a:r>
          <a:r>
            <a:rPr lang="en-US" sz="1050"/>
            <a:t> New Members / Month − Churned / Month</a:t>
          </a:r>
          <a:br>
            <a:rPr lang="en-US" sz="1050"/>
          </a:br>
          <a:r>
            <a:rPr lang="en-US" sz="1050"/>
            <a:t>→ Positive = growth; negative = decline in member base.</a:t>
          </a:r>
        </a:p>
        <a:p>
          <a:endParaRPr lang="en-US" sz="105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148591</xdr:colOff>
      <xdr:row>6</xdr:row>
      <xdr:rowOff>34290</xdr:rowOff>
    </xdr:from>
    <xdr:to>
      <xdr:col>13</xdr:col>
      <xdr:colOff>171451</xdr:colOff>
      <xdr:row>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9237ED-A19A-46BC-89C5-A50656116B98}"/>
            </a:ext>
          </a:extLst>
        </xdr:cNvPr>
        <xdr:cNvSpPr txBox="1"/>
      </xdr:nvSpPr>
      <xdr:spPr>
        <a:xfrm>
          <a:off x="5634991" y="1120140"/>
          <a:ext cx="2457450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Index:</a:t>
          </a:r>
        </a:p>
        <a:p>
          <a:r>
            <a:rPr lang="en-US" sz="1100"/>
            <a:t>Value &gt;1 boosts demand</a:t>
          </a:r>
        </a:p>
        <a:p>
          <a:r>
            <a:rPr lang="en-US" sz="1100"/>
            <a:t>Value &lt;1 reduces demand</a:t>
          </a:r>
          <a:r>
            <a:rPr lang="en-US" sz="1100" baseline="0"/>
            <a:t> </a:t>
          </a:r>
          <a:endParaRPr lang="en-US" sz="1100"/>
        </a:p>
        <a:p>
          <a:endParaRPr lang="en-US" sz="1100"/>
        </a:p>
        <a:p>
          <a:r>
            <a:rPr lang="en-US" sz="1100"/>
            <a:t>Applies to member/non-member reservations &amp; member open play.</a:t>
          </a:r>
        </a:p>
      </xdr:txBody>
    </xdr:sp>
    <xdr:clientData/>
  </xdr:twoCellAnchor>
  <xdr:twoCellAnchor>
    <xdr:from>
      <xdr:col>6</xdr:col>
      <xdr:colOff>163684</xdr:colOff>
      <xdr:row>18</xdr:row>
      <xdr:rowOff>213153</xdr:rowOff>
    </xdr:from>
    <xdr:to>
      <xdr:col>14</xdr:col>
      <xdr:colOff>707948</xdr:colOff>
      <xdr:row>40</xdr:row>
      <xdr:rowOff>209342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18EC9B-BAFF-4FC1-BECE-680677EA2871}"/>
            </a:ext>
          </a:extLst>
        </xdr:cNvPr>
        <xdr:cNvSpPr txBox="1"/>
      </xdr:nvSpPr>
      <xdr:spPr>
        <a:xfrm>
          <a:off x="6318299" y="5394334"/>
          <a:ext cx="5882451" cy="66741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Courts (count)</a:t>
          </a:r>
          <a:r>
            <a:rPr lang="en-US" sz="900"/>
            <a:t> – Total playable courts at the facility.</a:t>
          </a:r>
          <a:br>
            <a:rPr lang="en-US" sz="900"/>
          </a:br>
          <a:r>
            <a:rPr lang="en-US" sz="900" b="1"/>
            <a:t>Days open per week</a:t>
          </a:r>
          <a:r>
            <a:rPr lang="en-US" sz="900"/>
            <a:t> – Number of operational days each week.</a:t>
          </a:r>
          <a:br>
            <a:rPr lang="en-US" sz="900"/>
          </a:br>
          <a:r>
            <a:rPr lang="en-US" sz="900" b="1"/>
            <a:t>Hours open per day</a:t>
          </a:r>
          <a:r>
            <a:rPr lang="en-US" sz="900"/>
            <a:t> – Daily hours available for play.</a:t>
          </a:r>
          <a:br>
            <a:rPr lang="en-US" sz="900"/>
          </a:br>
          <a:r>
            <a:rPr lang="en-US" sz="900" b="1"/>
            <a:t>Peak hours share of day</a:t>
          </a:r>
          <a:r>
            <a:rPr lang="en-US" sz="900"/>
            <a:t> – Fraction of open hours considered peak.</a:t>
          </a:r>
          <a:br>
            <a:rPr lang="en-US" sz="900"/>
          </a:br>
          <a:r>
            <a:rPr lang="en-US" sz="900" b="1"/>
            <a:t>Weekend share of days</a:t>
          </a:r>
          <a:r>
            <a:rPr lang="en-US" sz="900"/>
            <a:t> – Portion of total days that are weekends.</a:t>
          </a:r>
          <a:br>
            <a:rPr lang="en-US" sz="900"/>
          </a:br>
          <a:r>
            <a:rPr lang="en-US" sz="900" b="1"/>
            <a:t>Reservation share of total court time</a:t>
          </a:r>
          <a:r>
            <a:rPr lang="en-US" sz="900"/>
            <a:t> – % of hours allocated to reservations vs open play.</a:t>
          </a:r>
          <a:br>
            <a:rPr lang="en-US" sz="900"/>
          </a:br>
          <a:r>
            <a:rPr lang="en-US" sz="900" b="1"/>
            <a:t>Baseline utilization – Members / Non-members (Peak/Off-peak)</a:t>
          </a:r>
          <a:r>
            <a:rPr lang="en-US" sz="900"/>
            <a:t> – Expected % of courts filled by each user type and time.</a:t>
          </a:r>
          <a:br>
            <a:rPr lang="en-US" sz="900"/>
          </a:br>
          <a:r>
            <a:rPr lang="en-US" sz="900" b="1"/>
            <a:t>Peak / Off-peak rate – Non-member ($/court-hr)</a:t>
          </a:r>
          <a:r>
            <a:rPr lang="en-US" sz="900"/>
            <a:t> – Hourly rental prices for non-members.</a:t>
          </a:r>
          <a:br>
            <a:rPr lang="en-US" sz="900"/>
          </a:br>
          <a:r>
            <a:rPr lang="en-US" sz="900" b="1"/>
            <a:t>Member discount on court rate</a:t>
          </a:r>
          <a:r>
            <a:rPr lang="en-US" sz="900"/>
            <a:t> – % discount on base rate for members.</a:t>
          </a:r>
          <a:br>
            <a:rPr lang="en-US" sz="900"/>
          </a:br>
          <a:r>
            <a:rPr lang="en-US" sz="900" b="1"/>
            <a:t>Open Play price – Member / Non-member ($/session)</a:t>
          </a:r>
          <a:r>
            <a:rPr lang="en-US" sz="900"/>
            <a:t> – Flat fee per open-play session.</a:t>
          </a:r>
          <a:br>
            <a:rPr lang="en-US" sz="900"/>
          </a:br>
          <a:r>
            <a:rPr lang="en-US" sz="900" b="1"/>
            <a:t>Open Play session length (min)</a:t>
          </a:r>
          <a:r>
            <a:rPr lang="en-US" sz="900"/>
            <a:t> – Duration of each open-play block.</a:t>
          </a:r>
          <a:br>
            <a:rPr lang="en-US" sz="900"/>
          </a:br>
          <a:r>
            <a:rPr lang="en-US" sz="900" b="1"/>
            <a:t>No-show rate</a:t>
          </a:r>
          <a:r>
            <a:rPr lang="en-US" sz="900"/>
            <a:t> – % of paid reservations that don’t attend but still generate revenue.</a:t>
          </a:r>
          <a:br>
            <a:rPr lang="en-US" sz="900"/>
          </a:br>
          <a:r>
            <a:rPr lang="en-US" sz="900" b="1"/>
            <a:t>Member booking share of reservations</a:t>
          </a:r>
          <a:r>
            <a:rPr lang="en-US" sz="900"/>
            <a:t> – Portion of total bookings made by members.</a:t>
          </a:r>
          <a:br>
            <a:rPr lang="en-US" sz="900"/>
          </a:br>
          <a:r>
            <a:rPr lang="en-US" sz="900" b="1"/>
            <a:t>Booking window uplift</a:t>
          </a:r>
          <a:r>
            <a:rPr lang="en-US" sz="900"/>
            <a:t> – Utilization increase from early member bookings.</a:t>
          </a:r>
          <a:br>
            <a:rPr lang="en-US" sz="900"/>
          </a:br>
          <a:r>
            <a:rPr lang="en-US" sz="900" b="1"/>
            <a:t>Starting Members (Month 1)</a:t>
          </a:r>
          <a:r>
            <a:rPr lang="en-US" sz="900"/>
            <a:t> – Initial count of active members.</a:t>
          </a:r>
          <a:br>
            <a:rPr lang="en-US" sz="900"/>
          </a:br>
          <a:r>
            <a:rPr lang="en-US" sz="900" b="1"/>
            <a:t>Monthly Member Growth Rate (%)</a:t>
          </a:r>
          <a:r>
            <a:rPr lang="en-US" sz="900"/>
            <a:t> – Month-over-month membership increase.</a:t>
          </a:r>
          <a:br>
            <a:rPr lang="en-US" sz="900"/>
          </a:br>
          <a:r>
            <a:rPr lang="en-US" sz="900" b="1"/>
            <a:t>Max Member Capacity</a:t>
          </a:r>
          <a:r>
            <a:rPr lang="en-US" sz="900"/>
            <a:t> – Maximum number of active members allowed.</a:t>
          </a:r>
          <a:br>
            <a:rPr lang="en-US" sz="900"/>
          </a:br>
          <a:r>
            <a:rPr lang="en-US" sz="900" b="1"/>
            <a:t>% Members who reserve monthly</a:t>
          </a:r>
          <a:r>
            <a:rPr lang="en-US" sz="900"/>
            <a:t> – Fraction of members that book courts monthly.</a:t>
          </a:r>
          <a:br>
            <a:rPr lang="en-US" sz="900"/>
          </a:br>
          <a:r>
            <a:rPr lang="en-US" sz="900" b="1"/>
            <a:t>Avg reservations per reserving member / month</a:t>
          </a:r>
          <a:r>
            <a:rPr lang="en-US" sz="900"/>
            <a:t> – Typical booking frequency per reserving member.</a:t>
          </a:r>
          <a:br>
            <a:rPr lang="en-US" sz="900"/>
          </a:br>
          <a:r>
            <a:rPr lang="en-US" sz="900" b="1"/>
            <a:t>Avg reservation duration (min)</a:t>
          </a:r>
          <a:r>
            <a:rPr lang="en-US" sz="900"/>
            <a:t> – Average booked reservation time.</a:t>
          </a:r>
          <a:br>
            <a:rPr lang="en-US" sz="900"/>
          </a:br>
          <a:r>
            <a:rPr lang="en-US" sz="900" b="1"/>
            <a:t>Avg open-play sessions / member / month</a:t>
          </a:r>
          <a:r>
            <a:rPr lang="en-US" sz="900"/>
            <a:t> – Average open-play attendance by each member.</a:t>
          </a:r>
          <a:br>
            <a:rPr lang="en-US" sz="900"/>
          </a:br>
          <a:r>
            <a:rPr lang="en-US" sz="900" b="1"/>
            <a:t>Open Play players per court capacity (per hour)</a:t>
          </a:r>
          <a:r>
            <a:rPr lang="en-US" sz="900"/>
            <a:t> – Expected concurrent player density per court.</a:t>
          </a:r>
          <a:br>
            <a:rPr lang="en-US" sz="900"/>
          </a:br>
          <a:r>
            <a:rPr lang="en-US" sz="900" b="1"/>
            <a:t>Marketing uplift – Non-members</a:t>
          </a:r>
          <a:r>
            <a:rPr lang="en-US" sz="900"/>
            <a:t> – Added demand from marketing effects.</a:t>
          </a:r>
          <a:br>
            <a:rPr lang="en-US" sz="900"/>
          </a:br>
          <a:r>
            <a:rPr lang="en-US" sz="900" b="1"/>
            <a:t>Non-member reservation cap (% of capacity)</a:t>
          </a:r>
          <a:r>
            <a:rPr lang="en-US" sz="900"/>
            <a:t> – Max share of reservation capacity open to non-members.</a:t>
          </a:r>
          <a:br>
            <a:rPr lang="en-US" sz="900"/>
          </a:br>
          <a:r>
            <a:rPr lang="en-US" sz="900" b="1"/>
            <a:t>Seasonality Index</a:t>
          </a:r>
          <a:r>
            <a:rPr lang="en-US" sz="900"/>
            <a:t> – Multiplier adjusting demand by month (e.g., 1.1 = 10% higher demand).</a:t>
          </a:r>
          <a:br>
            <a:rPr lang="en-US" sz="900"/>
          </a:br>
          <a:r>
            <a:rPr lang="en-US" sz="900" b="1"/>
            <a:t>Total Court Hours / month</a:t>
          </a:r>
          <a:r>
            <a:rPr lang="en-US" sz="900"/>
            <a:t> – Courts × Days/week × 4.33 × Hours/day.</a:t>
          </a:r>
          <a:br>
            <a:rPr lang="en-US" sz="900"/>
          </a:br>
          <a:r>
            <a:rPr lang="en-US" sz="900" b="1"/>
            <a:t>Peak / Off-Peak Hours / month</a:t>
          </a:r>
          <a:r>
            <a:rPr lang="en-US" sz="900"/>
            <a:t> – Total court hours split by daily peak share.</a:t>
          </a:r>
          <a:br>
            <a:rPr lang="en-US" sz="900"/>
          </a:br>
          <a:r>
            <a:rPr lang="en-US" sz="900" b="1"/>
            <a:t>Open Play Hours Share</a:t>
          </a:r>
          <a:r>
            <a:rPr lang="en-US" sz="900"/>
            <a:t> – Remaining share after reservation hours.</a:t>
          </a:r>
          <a:br>
            <a:rPr lang="en-US" sz="900"/>
          </a:br>
          <a:r>
            <a:rPr lang="en-US" sz="900" b="1"/>
            <a:t>Blended Utilizations</a:t>
          </a:r>
          <a:r>
            <a:rPr lang="en-US" sz="900"/>
            <a:t> – Weighted weekday/weekend usage percentages for members and non-members.</a:t>
          </a:r>
          <a:br>
            <a:rPr lang="en-US" sz="900"/>
          </a:br>
          <a:r>
            <a:rPr lang="en-US" sz="900" b="1"/>
            <a:t>Reservation Capacity Hours / month</a:t>
          </a:r>
          <a:r>
            <a:rPr lang="en-US" sz="900"/>
            <a:t> – Attended reservation limit based on utilization × court time.</a:t>
          </a:r>
          <a:br>
            <a:rPr lang="en-US" sz="900"/>
          </a:br>
          <a:r>
            <a:rPr lang="en-US" sz="900" b="1"/>
            <a:t>Blended Reservation Rates ($/hr)</a:t>
          </a:r>
          <a:r>
            <a:rPr lang="en-US" sz="900"/>
            <a:t> – Weighted average of peak/off-peak rates for each user type.</a:t>
          </a:r>
          <a:br>
            <a:rPr lang="en-US" sz="900"/>
          </a:br>
          <a:r>
            <a:rPr lang="en-US" sz="900" b="1"/>
            <a:t>Reservation Duration / Open Play Session Length (hours)</a:t>
          </a:r>
          <a:r>
            <a:rPr lang="en-US" sz="900"/>
            <a:t> – Converted time from minutes.</a:t>
          </a:r>
          <a:br>
            <a:rPr lang="en-US" sz="900"/>
          </a:br>
          <a:r>
            <a:rPr lang="en-US" sz="900" b="1"/>
            <a:t>Members (each month)</a:t>
          </a:r>
          <a:r>
            <a:rPr lang="en-US" sz="900"/>
            <a:t> – Starting count grown monthly up to capacity.</a:t>
          </a:r>
          <a:br>
            <a:rPr lang="en-US" sz="900"/>
          </a:br>
          <a:r>
            <a:rPr lang="en-US" sz="900" b="1"/>
            <a:t>Member Reservation Hours (raw)</a:t>
          </a:r>
          <a:r>
            <a:rPr lang="en-US" sz="900"/>
            <a:t> – Member demand before capacity cap, scaled by seasonality.</a:t>
          </a:r>
          <a:br>
            <a:rPr lang="en-US" sz="900"/>
          </a:br>
          <a:r>
            <a:rPr lang="en-US" sz="900" b="1"/>
            <a:t>Member Reservation Hours (capped)</a:t>
          </a:r>
          <a:r>
            <a:rPr lang="en-US" sz="900"/>
            <a:t> – Raw hours limited by reservation capacity.</a:t>
          </a:r>
          <a:br>
            <a:rPr lang="en-US" sz="900"/>
          </a:br>
          <a:r>
            <a:rPr lang="en-US" sz="900" b="1"/>
            <a:t>Non-member Reservation Demand Hours</a:t>
          </a:r>
          <a:r>
            <a:rPr lang="en-US" sz="900"/>
            <a:t> – Expected non-member booking demand from utilization and seasonality.</a:t>
          </a:r>
          <a:br>
            <a:rPr lang="en-US" sz="900"/>
          </a:br>
          <a:r>
            <a:rPr lang="en-US" sz="900" b="1"/>
            <a:t>Non-member Reservation Hours (actual)</a:t>
          </a:r>
          <a:r>
            <a:rPr lang="en-US" sz="900"/>
            <a:t> – Demand limited by residual capacity and cap %.</a:t>
          </a:r>
          <a:br>
            <a:rPr lang="en-US" sz="900"/>
          </a:br>
          <a:r>
            <a:rPr lang="en-US" sz="900" b="1"/>
            <a:t>Avg Reservation Rate ($/hr)</a:t>
          </a:r>
          <a:r>
            <a:rPr lang="en-US" sz="900"/>
            <a:t> – Weighted by member vs non-member actual usage.</a:t>
          </a:r>
          <a:br>
            <a:rPr lang="en-US" sz="900"/>
          </a:br>
          <a:r>
            <a:rPr lang="en-US" sz="900" b="1"/>
            <a:t>Reservation Revenue (attended)</a:t>
          </a:r>
          <a:r>
            <a:rPr lang="en-US" sz="900"/>
            <a:t> – (Member + Non-member hours) × Avg rate.</a:t>
          </a:r>
          <a:br>
            <a:rPr lang="en-US" sz="900"/>
          </a:br>
          <a:r>
            <a:rPr lang="en-US" sz="900" b="1"/>
            <a:t>No-show Revenue</a:t>
          </a:r>
          <a:r>
            <a:rPr lang="en-US" sz="900"/>
            <a:t> – Attended revenue × No-show rate.</a:t>
          </a:r>
          <a:br>
            <a:rPr lang="en-US" sz="900"/>
          </a:br>
          <a:r>
            <a:rPr lang="en-US" sz="900" b="1"/>
            <a:t>Member Open Play Hours (raw)</a:t>
          </a:r>
          <a:r>
            <a:rPr lang="en-US" sz="900"/>
            <a:t> – Member open-play demand scaled by seasonality.</a:t>
          </a:r>
          <a:br>
            <a:rPr lang="en-US" sz="900"/>
          </a:br>
          <a:r>
            <a:rPr lang="en-US" sz="900" b="1"/>
            <a:t>Member Open Play Hours (capped)</a:t>
          </a:r>
          <a:r>
            <a:rPr lang="en-US" sz="900"/>
            <a:t> – Demand limited by open-play capacity.</a:t>
          </a:r>
          <a:br>
            <a:rPr lang="en-US" sz="900"/>
          </a:br>
          <a:r>
            <a:rPr lang="en-US" sz="900" b="1"/>
            <a:t>Member Open Play Sessions</a:t>
          </a:r>
          <a:r>
            <a:rPr lang="en-US" sz="900"/>
            <a:t> – Capped hours ÷ session length.</a:t>
          </a:r>
          <a:br>
            <a:rPr lang="en-US" sz="900"/>
          </a:br>
          <a:r>
            <a:rPr lang="en-US" sz="900" b="1"/>
            <a:t>Member Open Play Revenue</a:t>
          </a:r>
          <a:r>
            <a:rPr lang="en-US" sz="900"/>
            <a:t> – Sessions × member price.</a:t>
          </a:r>
          <a:br>
            <a:rPr lang="en-US" sz="900"/>
          </a:br>
          <a:r>
            <a:rPr lang="en-US" sz="900" b="1"/>
            <a:t>Non-member Open Play Hours / Sessions / Revenue</a:t>
          </a:r>
          <a:r>
            <a:rPr lang="en-US" sz="900"/>
            <a:t> – Residual capacity converted to sessions × non-member price.</a:t>
          </a:r>
          <a:br>
            <a:rPr lang="en-US" sz="900"/>
          </a:br>
          <a:r>
            <a:rPr lang="en-US" sz="900" b="1"/>
            <a:t>TOTAL Court Revenue ($/mo)</a:t>
          </a:r>
          <a:r>
            <a:rPr lang="en-US" sz="900"/>
            <a:t> – Reservation + No-show + Open-play revenues.</a:t>
          </a:r>
          <a:br>
            <a:rPr lang="en-US" sz="900"/>
          </a:br>
          <a:r>
            <a:rPr lang="en-US" sz="900" b="1"/>
            <a:t>Quarterly / Yearly Summaries</a:t>
          </a:r>
          <a:r>
            <a:rPr lang="en-US" sz="900"/>
            <a:t> – Aggregated totals and averages across months.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45</xdr:row>
      <xdr:rowOff>30480</xdr:rowOff>
    </xdr:from>
    <xdr:to>
      <xdr:col>7</xdr:col>
      <xdr:colOff>0</xdr:colOff>
      <xdr:row>64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FD6F1-1CDD-D4F1-B7E0-D732E38597BC}"/>
            </a:ext>
          </a:extLst>
        </xdr:cNvPr>
        <xdr:cNvSpPr txBox="1"/>
      </xdr:nvSpPr>
      <xdr:spPr>
        <a:xfrm>
          <a:off x="4488180" y="8305800"/>
          <a:ext cx="7292340" cy="3497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Court Revenue – Reservations (incl. no-shows)</a:t>
          </a:r>
          <a:r>
            <a:rPr lang="en-US" sz="1000"/>
            <a:t> – Total monthly revenue from attended reservations </a:t>
          </a:r>
          <a:r>
            <a:rPr lang="en-US" sz="1000" b="1"/>
            <a:t>plus</a:t>
          </a:r>
          <a:r>
            <a:rPr lang="en-US" sz="1000"/>
            <a:t> paid no-show charges.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(Attended reservation revenue) + (Average reservation rate × Total reservation hours × No-show rate)</a:t>
          </a:r>
        </a:p>
        <a:p>
          <a:r>
            <a:rPr lang="en-US" sz="1000" b="1"/>
            <a:t>Court Revenue – Open Play</a:t>
          </a:r>
          <a:r>
            <a:rPr lang="en-US" sz="1000"/>
            <a:t> – Total monthly revenue from open-play sessions (members + non-members).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(Member open-play sessions × Member price) + (Non-member open-play sessions × Non-member price)</a:t>
          </a:r>
        </a:p>
        <a:p>
          <a:r>
            <a:rPr lang="en-US" sz="1000" b="1"/>
            <a:t>Court Revenue – TOTAL</a:t>
          </a:r>
          <a:r>
            <a:rPr lang="en-US" sz="1000"/>
            <a:t> – Combined monthly court revenue.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(Court Revenue – Reservations incl. no-shows) + (Court Revenue – Open Play)</a:t>
          </a:r>
        </a:p>
        <a:p>
          <a:r>
            <a:rPr lang="en-US" sz="1000" b="1"/>
            <a:t>No-show charged revenue</a:t>
          </a:r>
          <a:r>
            <a:rPr lang="en-US" sz="1000"/>
            <a:t> – Dollars received for reservations not attended but charged per policy.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Average reservation rate × Total reservation hours × No-show rate</a:t>
          </a:r>
          <a:br>
            <a:rPr lang="en-US" sz="1000"/>
          </a:br>
          <a:r>
            <a:rPr lang="en-US" sz="1000" i="1"/>
            <a:t>Note:</a:t>
          </a:r>
          <a:r>
            <a:rPr lang="en-US" sz="1000"/>
            <a:t> Adds revenue, </a:t>
          </a:r>
          <a:r>
            <a:rPr lang="en-US" sz="1000" b="1"/>
            <a:t>not</a:t>
          </a:r>
          <a:r>
            <a:rPr lang="en-US" sz="1000"/>
            <a:t> hours (keeps utilization/yield clean).</a:t>
          </a:r>
        </a:p>
        <a:p>
          <a:r>
            <a:rPr lang="en-US" sz="1000" b="1"/>
            <a:t>Court-hours sold – Reservations (attended)</a:t>
          </a:r>
          <a:r>
            <a:rPr lang="en-US" sz="1000"/>
            <a:t> – Total attended reservation hours (members + non-members).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Member reserved hours (attended) + Non-member reserved hours (attended)</a:t>
          </a:r>
        </a:p>
        <a:p>
          <a:r>
            <a:rPr lang="en-US" sz="1000" b="1"/>
            <a:t>Court-hours sold – Open Play</a:t>
          </a:r>
          <a:r>
            <a:rPr lang="en-US" sz="1000"/>
            <a:t> – Total open-play court-hours allocated (members + non-members).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Open-play hours (members) + Open-play hours (non-members)</a:t>
          </a:r>
        </a:p>
        <a:p>
          <a:r>
            <a:rPr lang="en-US" sz="1000" b="1"/>
            <a:t>Utilization (attended hours / available)</a:t>
          </a:r>
          <a:r>
            <a:rPr lang="en-US" sz="1000"/>
            <a:t> – Share of available court-hours that were actually used by players.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(Court-hours sold – Reservations (attended) + Court-hours sold – Open Play) ÷ Total court-hours available per month</a:t>
          </a:r>
        </a:p>
        <a:p>
          <a:r>
            <a:rPr lang="en-US" sz="1000" b="1"/>
            <a:t>Yield ($ per attended sold court-hour)</a:t>
          </a:r>
          <a:r>
            <a:rPr lang="en-US" sz="1000"/>
            <a:t> – Average dollars earned per </a:t>
          </a:r>
          <a:r>
            <a:rPr lang="en-US" sz="1000" b="1"/>
            <a:t>attended</a:t>
          </a:r>
          <a:r>
            <a:rPr lang="en-US" sz="1000"/>
            <a:t> court-hour.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(Attended reservation revenue + Open-play revenue) ÷ (Court-hours sold – Reservations (attended) + Court-hours sold – Open Play)</a:t>
          </a:r>
        </a:p>
        <a:p>
          <a:r>
            <a:rPr lang="en-US" sz="1000" b="1"/>
            <a:t>Mix: % Member revenue (reservations, attended)</a:t>
          </a:r>
          <a:r>
            <a:rPr lang="en-US" sz="1000"/>
            <a:t> – Portion of </a:t>
          </a:r>
          <a:r>
            <a:rPr lang="en-US" sz="1000" b="1"/>
            <a:t>attended reservation</a:t>
          </a:r>
          <a:r>
            <a:rPr lang="en-US" sz="1000"/>
            <a:t> revenue coming from members.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Member attended reservation revenue ÷ Total attended reservation revenue</a:t>
          </a:r>
        </a:p>
        <a:p>
          <a:r>
            <a:rPr lang="en-US" sz="1000" b="1"/>
            <a:t>Mix: % Member revenue (open play)</a:t>
          </a:r>
          <a:r>
            <a:rPr lang="en-US" sz="1000"/>
            <a:t> – Portion of </a:t>
          </a:r>
          <a:r>
            <a:rPr lang="en-US" sz="1000" b="1"/>
            <a:t>open-play</a:t>
          </a:r>
          <a:r>
            <a:rPr lang="en-US" sz="1000"/>
            <a:t> revenue coming from members.</a:t>
          </a:r>
          <a:br>
            <a:rPr lang="en-US" sz="1000"/>
          </a:br>
          <a:r>
            <a:rPr lang="en-US" sz="1000" i="1"/>
            <a:t>Logic:</a:t>
          </a:r>
          <a:r>
            <a:rPr lang="en-US" sz="1000"/>
            <a:t> Member open-play revenue ÷ Total open-play revenue</a:t>
          </a:r>
        </a:p>
        <a:p>
          <a:endParaRPr lang="en-US" sz="1000"/>
        </a:p>
      </xdr:txBody>
    </xdr:sp>
    <xdr:clientData/>
  </xdr:twoCellAnchor>
  <xdr:twoCellAnchor>
    <xdr:from>
      <xdr:col>2</xdr:col>
      <xdr:colOff>30480</xdr:colOff>
      <xdr:row>16</xdr:row>
      <xdr:rowOff>22860</xdr:rowOff>
    </xdr:from>
    <xdr:to>
      <xdr:col>6</xdr:col>
      <xdr:colOff>7620</xdr:colOff>
      <xdr:row>32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56F534-861C-1869-8270-6CAF73E73D7E}"/>
            </a:ext>
          </a:extLst>
        </xdr:cNvPr>
        <xdr:cNvSpPr txBox="1"/>
      </xdr:nvSpPr>
      <xdr:spPr>
        <a:xfrm>
          <a:off x="4434840" y="2994660"/>
          <a:ext cx="6743700" cy="3055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Peak rate – Non-member ($/court-hr)</a:t>
          </a:r>
          <a:r>
            <a:rPr lang="en-US" sz="1000"/>
            <a:t> – Standard peak-hour rental rate for non-members.</a:t>
          </a:r>
          <a:br>
            <a:rPr lang="en-US" sz="1000"/>
          </a:br>
          <a:r>
            <a:rPr lang="en-US" sz="1000" b="1"/>
            <a:t>Off-peak rate – Non-member ($/court-hr)</a:t>
          </a:r>
          <a:r>
            <a:rPr lang="en-US" sz="1000"/>
            <a:t> – Discounted off-peak rental rate for non-members.</a:t>
          </a:r>
          <a:br>
            <a:rPr lang="en-US" sz="1000"/>
          </a:br>
          <a:r>
            <a:rPr lang="en-US" sz="1000" b="1"/>
            <a:t>Member discount on court rate</a:t>
          </a:r>
          <a:r>
            <a:rPr lang="en-US" sz="1000"/>
            <a:t> – Percentage discount on hourly rates for members.</a:t>
          </a:r>
          <a:br>
            <a:rPr lang="en-US" sz="1000"/>
          </a:br>
          <a:r>
            <a:rPr lang="en-US" sz="1000" b="1"/>
            <a:t>Open Play price – Member ($/session)</a:t>
          </a:r>
          <a:r>
            <a:rPr lang="en-US" sz="1000"/>
            <a:t> – Flat fee members pay per open-play session.</a:t>
          </a:r>
          <a:br>
            <a:rPr lang="en-US" sz="1000"/>
          </a:br>
          <a:r>
            <a:rPr lang="en-US" sz="1000" b="1"/>
            <a:t>Open Play price – Non-member ($/session)</a:t>
          </a:r>
          <a:r>
            <a:rPr lang="en-US" sz="1000"/>
            <a:t> – Flat fee non-members pay per open-play session.</a:t>
          </a:r>
          <a:br>
            <a:rPr lang="en-US" sz="1000"/>
          </a:br>
          <a:r>
            <a:rPr lang="en-US" sz="1000" b="1"/>
            <a:t>Open Play session length (min)</a:t>
          </a:r>
          <a:r>
            <a:rPr lang="en-US" sz="1000"/>
            <a:t> – Duration of each open-play block.</a:t>
          </a:r>
          <a:br>
            <a:rPr lang="en-US" sz="1000"/>
          </a:br>
          <a:r>
            <a:rPr lang="en-US" sz="1000" b="1"/>
            <a:t>Open Play players per court capacity (per hour)</a:t>
          </a:r>
          <a:r>
            <a:rPr lang="en-US" sz="1000"/>
            <a:t> – Average number of players utilizing one court per hour.</a:t>
          </a:r>
          <a:br>
            <a:rPr lang="en-US" sz="1000"/>
          </a:br>
          <a:r>
            <a:rPr lang="en-US" sz="1000" b="1"/>
            <a:t>Baseline utilization – Peak (weekday)</a:t>
          </a:r>
          <a:r>
            <a:rPr lang="en-US" sz="1000"/>
            <a:t> – % of peak hours filled on weekdays.</a:t>
          </a:r>
          <a:br>
            <a:rPr lang="en-US" sz="1000"/>
          </a:br>
          <a:r>
            <a:rPr lang="en-US" sz="1000" b="1"/>
            <a:t>Baseline utilization – Off-peak (weekday)</a:t>
          </a:r>
          <a:r>
            <a:rPr lang="en-US" sz="1000"/>
            <a:t> – % of off-peak hours filled on weekdays.</a:t>
          </a:r>
          <a:br>
            <a:rPr lang="en-US" sz="1000"/>
          </a:br>
          <a:r>
            <a:rPr lang="en-US" sz="1000" b="1"/>
            <a:t>Baseline utilization – Peak (weekend)</a:t>
          </a:r>
          <a:r>
            <a:rPr lang="en-US" sz="1000"/>
            <a:t> – % of peak hours filled on weekends.</a:t>
          </a:r>
          <a:br>
            <a:rPr lang="en-US" sz="1000"/>
          </a:br>
          <a:r>
            <a:rPr lang="en-US" sz="1000" b="1"/>
            <a:t>Baseline utilization – Off-peak (weekend)</a:t>
          </a:r>
          <a:r>
            <a:rPr lang="en-US" sz="1000"/>
            <a:t> – % of off-peak hours filled on weekends.</a:t>
          </a:r>
          <a:br>
            <a:rPr lang="en-US" sz="1000"/>
          </a:br>
          <a:r>
            <a:rPr lang="en-US" sz="1000" b="1"/>
            <a:t>Member booking share of reservations</a:t>
          </a:r>
          <a:r>
            <a:rPr lang="en-US" sz="1000"/>
            <a:t> – Share of all reservations made by members.</a:t>
          </a:r>
          <a:br>
            <a:rPr lang="en-US" sz="1000"/>
          </a:br>
          <a:r>
            <a:rPr lang="en-US" sz="1000" b="1"/>
            <a:t>Booking window uplift (members vs non)</a:t>
          </a:r>
          <a:r>
            <a:rPr lang="en-US" sz="1000"/>
            <a:t> – Utilization boost due to members booking earlier.</a:t>
          </a:r>
          <a:br>
            <a:rPr lang="en-US" sz="1000"/>
          </a:br>
          <a:r>
            <a:rPr lang="en-US" sz="1000" b="1"/>
            <a:t>No-show rate (paid/no-refund portion)</a:t>
          </a:r>
          <a:r>
            <a:rPr lang="en-US" sz="1000"/>
            <a:t> – % of reservations paid but not attended.</a:t>
          </a:r>
          <a:br>
            <a:rPr lang="en-US" sz="1000"/>
          </a:br>
          <a:r>
            <a:rPr lang="en-US" sz="1000" b="1"/>
            <a:t>Reservation share of total court time (vs open play)</a:t>
          </a:r>
          <a:r>
            <a:rPr lang="en-US" sz="1000"/>
            <a:t> – Portion of total court time allocated for reservations.</a:t>
          </a:r>
          <a:br>
            <a:rPr lang="en-US" sz="1000"/>
          </a:br>
          <a:r>
            <a:rPr lang="en-US" sz="1000" b="1"/>
            <a:t>Total Members</a:t>
          </a:r>
          <a:r>
            <a:rPr lang="en-US" sz="1000"/>
            <a:t> – Active members available for demand modeling.</a:t>
          </a:r>
          <a:br>
            <a:rPr lang="en-US" sz="1000"/>
          </a:br>
          <a:r>
            <a:rPr lang="en-US" sz="1000" b="1"/>
            <a:t>% Members who reserve monthly</a:t>
          </a:r>
          <a:r>
            <a:rPr lang="en-US" sz="1000"/>
            <a:t> – Fraction of members making reservations each month.</a:t>
          </a:r>
          <a:br>
            <a:rPr lang="en-US" sz="1000"/>
          </a:br>
          <a:r>
            <a:rPr lang="en-US" sz="1000" b="1"/>
            <a:t>Avg reservations per reserving member / month</a:t>
          </a:r>
          <a:r>
            <a:rPr lang="en-US" sz="1000"/>
            <a:t> – Average monthly reservations per reserving member.</a:t>
          </a:r>
          <a:br>
            <a:rPr lang="en-US" sz="1000"/>
          </a:br>
          <a:r>
            <a:rPr lang="en-US" sz="1000" b="1"/>
            <a:t>Avg open-play sessions per member / month</a:t>
          </a:r>
          <a:r>
            <a:rPr lang="en-US" sz="1000"/>
            <a:t> – Average monthly open-play sessions per member.</a:t>
          </a:r>
        </a:p>
      </xdr:txBody>
    </xdr:sp>
    <xdr:clientData/>
  </xdr:twoCellAnchor>
  <xdr:twoCellAnchor editAs="oneCell">
    <xdr:from>
      <xdr:col>5</xdr:col>
      <xdr:colOff>991320</xdr:colOff>
      <xdr:row>35</xdr:row>
      <xdr:rowOff>92940</xdr:rowOff>
    </xdr:from>
    <xdr:to>
      <xdr:col>5</xdr:col>
      <xdr:colOff>991680</xdr:colOff>
      <xdr:row>35</xdr:row>
      <xdr:rowOff>93300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298FF88-28B7-9055-B074-F751EF521D79}"/>
                </a:ext>
              </a:extLst>
            </xdr14:cNvPr>
            <xdr14:cNvContentPartPr/>
          </xdr14:nvContentPartPr>
          <xdr14:nvPr macro=""/>
          <xdr14:xfrm>
            <a:off x="10790640" y="65394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298FF88-28B7-9055-B074-F751EF521D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84520" y="65333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1187520</xdr:colOff>
      <xdr:row>35</xdr:row>
      <xdr:rowOff>138660</xdr:rowOff>
    </xdr:from>
    <xdr:to>
      <xdr:col>5</xdr:col>
      <xdr:colOff>1187880</xdr:colOff>
      <xdr:row>35</xdr:row>
      <xdr:rowOff>139020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6C09804-E674-AB35-756C-83422BDB244E}"/>
                </a:ext>
              </a:extLst>
            </xdr14:cNvPr>
            <xdr14:cNvContentPartPr/>
          </xdr14:nvContentPartPr>
          <xdr14:nvPr macro=""/>
          <xdr14:xfrm>
            <a:off x="10986840" y="65851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6C09804-E674-AB35-756C-83422BDB24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80720" y="65790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1175640</xdr:colOff>
      <xdr:row>35</xdr:row>
      <xdr:rowOff>161340</xdr:rowOff>
    </xdr:from>
    <xdr:to>
      <xdr:col>5</xdr:col>
      <xdr:colOff>1176000</xdr:colOff>
      <xdr:row>35</xdr:row>
      <xdr:rowOff>161700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399696D-98D7-43CB-FED3-BADA0E8A891B}"/>
                </a:ext>
              </a:extLst>
            </xdr14:cNvPr>
            <xdr14:cNvContentPartPr/>
          </xdr14:nvContentPartPr>
          <xdr14:nvPr macro=""/>
          <xdr14:xfrm>
            <a:off x="10974960" y="660786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399696D-98D7-43CB-FED3-BADA0E8A89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68840" y="66017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1T20:13:25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10040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1T20:13:26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96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1T20:13:27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96 0 0,'0'0'0'0'0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ackelope.com/tools/round-robin" TargetMode="External"/><Relationship Id="rId2" Type="http://schemas.openxmlformats.org/officeDocument/2006/relationships/hyperlink" Target="https://www.leaguelobster.com/scheduler/round-robin/" TargetMode="External"/><Relationship Id="rId1" Type="http://schemas.openxmlformats.org/officeDocument/2006/relationships/hyperlink" Target="https://www.vertex42.com/Calculators/loan-calculator.html" TargetMode="External"/><Relationship Id="rId4" Type="http://schemas.openxmlformats.org/officeDocument/2006/relationships/hyperlink" Target="https://www.smartsheet.com/marketing-budget-template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zoomScale="110" zoomScaleNormal="110" workbookViewId="0">
      <selection activeCell="A2" sqref="A2:XFD3"/>
    </sheetView>
  </sheetViews>
  <sheetFormatPr defaultRowHeight="14.4" x14ac:dyDescent="0.3"/>
  <cols>
    <col min="1" max="1" width="30.88671875" bestFit="1" customWidth="1"/>
    <col min="2" max="2" width="19.33203125" bestFit="1" customWidth="1"/>
    <col min="3" max="3" width="58.6640625" bestFit="1" customWidth="1"/>
  </cols>
  <sheetData>
    <row r="1" spans="1:6" ht="18" x14ac:dyDescent="0.35">
      <c r="A1" s="32" t="s">
        <v>0</v>
      </c>
      <c r="B1" s="32"/>
      <c r="C1" s="32"/>
      <c r="D1" s="1"/>
      <c r="E1" s="1"/>
      <c r="F1" s="1"/>
    </row>
    <row r="3" spans="1:6" x14ac:dyDescent="0.3">
      <c r="A3" s="3" t="s">
        <v>1</v>
      </c>
      <c r="B3" s="3" t="s">
        <v>2</v>
      </c>
      <c r="C3" s="3" t="s">
        <v>3</v>
      </c>
    </row>
    <row r="4" spans="1:6" x14ac:dyDescent="0.3">
      <c r="A4" t="s">
        <v>4</v>
      </c>
      <c r="B4" t="s">
        <v>5</v>
      </c>
      <c r="C4" s="2"/>
    </row>
    <row r="5" spans="1:6" x14ac:dyDescent="0.3">
      <c r="A5" t="s">
        <v>6</v>
      </c>
      <c r="B5" t="s">
        <v>7</v>
      </c>
      <c r="C5" s="2"/>
    </row>
    <row r="6" spans="1:6" x14ac:dyDescent="0.3">
      <c r="A6" t="s">
        <v>8</v>
      </c>
      <c r="B6" t="s">
        <v>9</v>
      </c>
      <c r="C6" s="2"/>
    </row>
    <row r="7" spans="1:6" x14ac:dyDescent="0.3">
      <c r="A7" t="s">
        <v>10</v>
      </c>
      <c r="B7" s="4">
        <v>8</v>
      </c>
      <c r="C7" s="2"/>
    </row>
    <row r="8" spans="1:6" x14ac:dyDescent="0.3">
      <c r="A8" t="s">
        <v>11</v>
      </c>
      <c r="B8" s="4">
        <v>7</v>
      </c>
      <c r="C8" s="2"/>
    </row>
    <row r="9" spans="1:6" x14ac:dyDescent="0.3">
      <c r="A9" t="s">
        <v>12</v>
      </c>
      <c r="B9" s="4">
        <v>14</v>
      </c>
      <c r="C9" s="2"/>
    </row>
    <row r="10" spans="1:6" x14ac:dyDescent="0.3">
      <c r="A10" t="s">
        <v>13</v>
      </c>
      <c r="B10" s="5">
        <v>0.45</v>
      </c>
      <c r="C10" s="2"/>
    </row>
    <row r="11" spans="1:6" x14ac:dyDescent="0.3">
      <c r="A11" t="s">
        <v>14</v>
      </c>
      <c r="B11" s="5">
        <v>0.7</v>
      </c>
      <c r="C11" s="2"/>
    </row>
    <row r="12" spans="1:6" x14ac:dyDescent="0.3">
      <c r="A12" t="s">
        <v>15</v>
      </c>
      <c r="B12" s="5">
        <v>0.4</v>
      </c>
      <c r="C12" s="2"/>
    </row>
    <row r="13" spans="1:6" x14ac:dyDescent="0.3">
      <c r="A13" t="s">
        <v>16</v>
      </c>
      <c r="B13" s="6">
        <v>40</v>
      </c>
      <c r="C13" s="2"/>
    </row>
    <row r="14" spans="1:6" x14ac:dyDescent="0.3">
      <c r="A14" t="s">
        <v>17</v>
      </c>
      <c r="B14" s="6">
        <v>30</v>
      </c>
      <c r="C14" s="2"/>
    </row>
    <row r="15" spans="1:6" x14ac:dyDescent="0.3">
      <c r="A15" t="s">
        <v>18</v>
      </c>
      <c r="B15" s="4">
        <v>5</v>
      </c>
      <c r="C15" s="2"/>
    </row>
    <row r="16" spans="1:6" x14ac:dyDescent="0.3">
      <c r="A16" t="s">
        <v>183</v>
      </c>
      <c r="B16" s="4">
        <v>50</v>
      </c>
      <c r="C16" s="2"/>
    </row>
    <row r="17" spans="1:3" x14ac:dyDescent="0.3">
      <c r="A17" t="s">
        <v>268</v>
      </c>
      <c r="B17" s="15">
        <f>'Memberships Revenue'!D52</f>
        <v>92.05</v>
      </c>
      <c r="C17" s="2"/>
    </row>
    <row r="18" spans="1:3" x14ac:dyDescent="0.3">
      <c r="A18" t="s">
        <v>180</v>
      </c>
      <c r="B18" s="8">
        <v>0.05</v>
      </c>
      <c r="C18" s="2"/>
    </row>
    <row r="19" spans="1:3" x14ac:dyDescent="0.3">
      <c r="A19" t="s">
        <v>19</v>
      </c>
      <c r="B19" s="4">
        <v>24</v>
      </c>
      <c r="C19" s="2" t="s">
        <v>182</v>
      </c>
    </row>
    <row r="20" spans="1:3" x14ac:dyDescent="0.3">
      <c r="A20" t="s">
        <v>20</v>
      </c>
      <c r="B20" s="6">
        <v>65</v>
      </c>
      <c r="C20" s="2"/>
    </row>
    <row r="21" spans="1:3" x14ac:dyDescent="0.3">
      <c r="A21" t="s">
        <v>21</v>
      </c>
      <c r="B21" s="4">
        <v>12</v>
      </c>
      <c r="C21" s="2" t="s">
        <v>184</v>
      </c>
    </row>
    <row r="22" spans="1:3" x14ac:dyDescent="0.3">
      <c r="A22" t="s">
        <v>22</v>
      </c>
      <c r="B22" s="4">
        <v>250</v>
      </c>
      <c r="C22" s="2"/>
    </row>
    <row r="23" spans="1:3" x14ac:dyDescent="0.3">
      <c r="A23" t="s">
        <v>23</v>
      </c>
      <c r="B23" s="4">
        <v>4</v>
      </c>
      <c r="C23" s="2"/>
    </row>
    <row r="24" spans="1:3" x14ac:dyDescent="0.3">
      <c r="A24" t="s">
        <v>24</v>
      </c>
      <c r="B24" s="6">
        <v>3000</v>
      </c>
      <c r="C24" s="2" t="s">
        <v>185</v>
      </c>
    </row>
    <row r="25" spans="1:3" x14ac:dyDescent="0.3">
      <c r="A25" t="s">
        <v>25</v>
      </c>
      <c r="B25" s="5">
        <v>0.55000000000000004</v>
      </c>
      <c r="C25" s="2"/>
    </row>
    <row r="26" spans="1:3" x14ac:dyDescent="0.3">
      <c r="A26" t="s">
        <v>26</v>
      </c>
      <c r="B26" s="6">
        <v>5000</v>
      </c>
      <c r="C26" s="2" t="s">
        <v>186</v>
      </c>
    </row>
    <row r="27" spans="1:3" x14ac:dyDescent="0.3">
      <c r="A27" t="s">
        <v>27</v>
      </c>
      <c r="B27" s="5">
        <v>0.45</v>
      </c>
      <c r="C27" s="2"/>
    </row>
    <row r="28" spans="1:3" x14ac:dyDescent="0.3">
      <c r="A28" t="s">
        <v>28</v>
      </c>
      <c r="B28" s="4">
        <v>196</v>
      </c>
      <c r="C28" s="2"/>
    </row>
    <row r="29" spans="1:3" x14ac:dyDescent="0.3">
      <c r="A29" t="s">
        <v>29</v>
      </c>
      <c r="B29" s="6">
        <v>18</v>
      </c>
      <c r="C29" s="2"/>
    </row>
    <row r="30" spans="1:3" x14ac:dyDescent="0.3">
      <c r="A30" t="s">
        <v>30</v>
      </c>
      <c r="B30" s="4">
        <v>40</v>
      </c>
      <c r="C30" s="2" t="s">
        <v>187</v>
      </c>
    </row>
    <row r="31" spans="1:3" x14ac:dyDescent="0.3">
      <c r="A31" t="s">
        <v>31</v>
      </c>
      <c r="B31" s="6">
        <v>30</v>
      </c>
      <c r="C31" s="2"/>
    </row>
    <row r="32" spans="1:3" x14ac:dyDescent="0.3">
      <c r="A32" t="s">
        <v>32</v>
      </c>
      <c r="B32" s="4">
        <v>60</v>
      </c>
      <c r="C32" s="2"/>
    </row>
    <row r="33" spans="1:3" x14ac:dyDescent="0.3">
      <c r="A33" t="s">
        <v>33</v>
      </c>
      <c r="B33" s="6">
        <v>17</v>
      </c>
      <c r="C33" s="2"/>
    </row>
    <row r="34" spans="1:3" x14ac:dyDescent="0.3">
      <c r="A34" t="s">
        <v>34</v>
      </c>
      <c r="B34" s="6">
        <v>40000</v>
      </c>
      <c r="C34" s="2" t="s">
        <v>202</v>
      </c>
    </row>
    <row r="35" spans="1:3" x14ac:dyDescent="0.3">
      <c r="A35" t="s">
        <v>35</v>
      </c>
      <c r="B35" s="6">
        <v>6000</v>
      </c>
      <c r="C35" s="2" t="s">
        <v>203</v>
      </c>
    </row>
    <row r="36" spans="1:3" x14ac:dyDescent="0.3">
      <c r="A36" t="s">
        <v>36</v>
      </c>
      <c r="B36" s="6">
        <v>4000</v>
      </c>
      <c r="C36" s="2" t="s">
        <v>204</v>
      </c>
    </row>
    <row r="37" spans="1:3" x14ac:dyDescent="0.3">
      <c r="A37" t="s">
        <v>37</v>
      </c>
      <c r="B37" s="6">
        <v>4000</v>
      </c>
      <c r="C37" s="2" t="s">
        <v>205</v>
      </c>
    </row>
    <row r="38" spans="1:3" x14ac:dyDescent="0.3">
      <c r="A38" t="s">
        <v>38</v>
      </c>
      <c r="B38" s="6">
        <v>2000</v>
      </c>
      <c r="C38" s="2" t="s">
        <v>206</v>
      </c>
    </row>
    <row r="39" spans="1:3" x14ac:dyDescent="0.3">
      <c r="A39" t="s">
        <v>39</v>
      </c>
      <c r="B39" s="6">
        <v>3000</v>
      </c>
      <c r="C39" s="2" t="s">
        <v>207</v>
      </c>
    </row>
    <row r="40" spans="1:3" x14ac:dyDescent="0.3">
      <c r="A40" t="s">
        <v>40</v>
      </c>
      <c r="B40" s="6">
        <v>2000</v>
      </c>
      <c r="C40" s="2" t="s">
        <v>208</v>
      </c>
    </row>
    <row r="41" spans="1:3" x14ac:dyDescent="0.3">
      <c r="A41" t="s">
        <v>41</v>
      </c>
      <c r="B41" s="6">
        <v>100000</v>
      </c>
      <c r="C41" s="2"/>
    </row>
    <row r="42" spans="1:3" x14ac:dyDescent="0.3">
      <c r="A42" t="s">
        <v>42</v>
      </c>
      <c r="B42" s="6">
        <v>2000000</v>
      </c>
      <c r="C42" s="2"/>
    </row>
    <row r="43" spans="1:3" x14ac:dyDescent="0.3">
      <c r="A43" t="s">
        <v>43</v>
      </c>
      <c r="B43" s="5">
        <v>9.5000000000000001E-2</v>
      </c>
      <c r="C43" s="2"/>
    </row>
    <row r="44" spans="1:3" x14ac:dyDescent="0.3">
      <c r="A44" t="s">
        <v>44</v>
      </c>
      <c r="B44" s="4">
        <v>120</v>
      </c>
      <c r="C44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zoomScale="110" zoomScaleNormal="110" workbookViewId="0">
      <selection activeCell="E2" sqref="E2"/>
    </sheetView>
  </sheetViews>
  <sheetFormatPr defaultRowHeight="14.4" x14ac:dyDescent="0.3"/>
  <cols>
    <col min="1" max="1" width="25.77734375" bestFit="1" customWidth="1"/>
    <col min="2" max="2" width="38.88671875" customWidth="1"/>
    <col min="3" max="3" width="4" bestFit="1" customWidth="1"/>
    <col min="4" max="4" width="27.5546875" bestFit="1" customWidth="1"/>
    <col min="5" max="5" width="9.109375" bestFit="1" customWidth="1"/>
    <col min="7" max="7" width="24.88671875" bestFit="1" customWidth="1"/>
    <col min="8" max="8" width="11" bestFit="1" customWidth="1"/>
  </cols>
  <sheetData>
    <row r="1" spans="1:8" ht="18" x14ac:dyDescent="0.35">
      <c r="A1" s="32" t="s">
        <v>45</v>
      </c>
      <c r="B1" s="32"/>
      <c r="C1" s="32"/>
      <c r="D1" s="32"/>
      <c r="E1" s="32"/>
      <c r="F1" s="32"/>
      <c r="G1" s="32"/>
      <c r="H1" s="32"/>
    </row>
    <row r="3" spans="1:8" x14ac:dyDescent="0.3">
      <c r="A3" s="3" t="s">
        <v>1</v>
      </c>
      <c r="B3" s="3" t="s">
        <v>46</v>
      </c>
      <c r="C3" s="3" t="s">
        <v>47</v>
      </c>
      <c r="D3" s="3" t="s">
        <v>48</v>
      </c>
      <c r="E3" s="3" t="s">
        <v>49</v>
      </c>
      <c r="G3" s="3" t="s">
        <v>64</v>
      </c>
    </row>
    <row r="4" spans="1:8" x14ac:dyDescent="0.3">
      <c r="A4" t="s">
        <v>50</v>
      </c>
      <c r="C4" s="4">
        <v>8</v>
      </c>
      <c r="D4" s="6">
        <v>21000</v>
      </c>
      <c r="E4" s="6">
        <f t="shared" ref="E4:E17" si="0">C4*D4</f>
        <v>168000</v>
      </c>
      <c r="G4" s="3" t="s">
        <v>65</v>
      </c>
      <c r="H4" s="3" t="s">
        <v>66</v>
      </c>
    </row>
    <row r="5" spans="1:8" x14ac:dyDescent="0.3">
      <c r="A5" t="s">
        <v>51</v>
      </c>
      <c r="C5" s="4">
        <v>8</v>
      </c>
      <c r="D5" s="6">
        <v>4000</v>
      </c>
      <c r="E5" s="6">
        <f t="shared" si="0"/>
        <v>32000</v>
      </c>
      <c r="G5" t="s">
        <v>67</v>
      </c>
      <c r="H5" s="6">
        <f>H11-H6</f>
        <v>-1100740</v>
      </c>
    </row>
    <row r="6" spans="1:8" x14ac:dyDescent="0.3">
      <c r="A6" t="s">
        <v>52</v>
      </c>
      <c r="C6" s="4">
        <v>1</v>
      </c>
      <c r="D6" s="6">
        <v>100000</v>
      </c>
      <c r="E6" s="6">
        <f t="shared" si="0"/>
        <v>100000</v>
      </c>
      <c r="G6" t="s">
        <v>68</v>
      </c>
      <c r="H6" s="6">
        <f>Assumptions!B42</f>
        <v>2000000</v>
      </c>
    </row>
    <row r="7" spans="1:8" x14ac:dyDescent="0.3">
      <c r="A7" t="s">
        <v>476</v>
      </c>
      <c r="C7" s="4">
        <v>1</v>
      </c>
      <c r="D7" s="6">
        <v>20000</v>
      </c>
      <c r="E7" s="6">
        <f t="shared" si="0"/>
        <v>20000</v>
      </c>
      <c r="H7" s="6"/>
    </row>
    <row r="8" spans="1:8" x14ac:dyDescent="0.3">
      <c r="A8" t="s">
        <v>53</v>
      </c>
      <c r="C8" s="4">
        <v>1</v>
      </c>
      <c r="D8" s="6">
        <v>70000</v>
      </c>
      <c r="E8" s="6">
        <f t="shared" si="0"/>
        <v>70000</v>
      </c>
      <c r="G8" s="3" t="s">
        <v>69</v>
      </c>
      <c r="H8" s="6">
        <f>H6+H5</f>
        <v>899260</v>
      </c>
    </row>
    <row r="9" spans="1:8" x14ac:dyDescent="0.3">
      <c r="A9" t="s">
        <v>54</v>
      </c>
      <c r="C9" s="4">
        <v>1</v>
      </c>
      <c r="D9" s="6">
        <v>70000</v>
      </c>
      <c r="E9" s="6">
        <f t="shared" si="0"/>
        <v>70000</v>
      </c>
      <c r="G9" t="s">
        <v>70</v>
      </c>
      <c r="H9" s="6">
        <f>E22</f>
        <v>799260</v>
      </c>
    </row>
    <row r="10" spans="1:8" x14ac:dyDescent="0.3">
      <c r="A10" t="s">
        <v>55</v>
      </c>
      <c r="C10" s="4">
        <v>8</v>
      </c>
      <c r="D10" s="6">
        <v>1200</v>
      </c>
      <c r="E10" s="6">
        <f t="shared" si="0"/>
        <v>9600</v>
      </c>
      <c r="G10" t="s">
        <v>71</v>
      </c>
      <c r="H10" s="6">
        <f>Assumptions!B41</f>
        <v>100000</v>
      </c>
    </row>
    <row r="11" spans="1:8" x14ac:dyDescent="0.3">
      <c r="A11" t="s">
        <v>56</v>
      </c>
      <c r="C11" s="4">
        <v>1</v>
      </c>
      <c r="D11" s="6">
        <v>20000</v>
      </c>
      <c r="E11" s="6">
        <f t="shared" si="0"/>
        <v>20000</v>
      </c>
      <c r="G11" s="3" t="s">
        <v>72</v>
      </c>
      <c r="H11" s="6">
        <f>H9+H10</f>
        <v>899260</v>
      </c>
    </row>
    <row r="12" spans="1:8" x14ac:dyDescent="0.3">
      <c r="A12" t="s">
        <v>57</v>
      </c>
      <c r="C12" s="4">
        <v>1</v>
      </c>
      <c r="D12" s="6">
        <v>45000</v>
      </c>
      <c r="E12" s="6">
        <f t="shared" si="0"/>
        <v>45000</v>
      </c>
    </row>
    <row r="13" spans="1:8" x14ac:dyDescent="0.3">
      <c r="A13" t="s">
        <v>58</v>
      </c>
      <c r="C13" s="4">
        <v>1</v>
      </c>
      <c r="D13" s="6">
        <v>75000</v>
      </c>
      <c r="E13" s="6">
        <f t="shared" si="0"/>
        <v>75000</v>
      </c>
    </row>
    <row r="14" spans="1:8" x14ac:dyDescent="0.3">
      <c r="A14" t="s">
        <v>59</v>
      </c>
      <c r="C14" s="4">
        <v>1</v>
      </c>
      <c r="D14" s="6">
        <v>40000</v>
      </c>
      <c r="E14" s="6">
        <f t="shared" si="0"/>
        <v>40000</v>
      </c>
      <c r="G14" t="s">
        <v>201</v>
      </c>
      <c r="H14" s="6">
        <f>ABS(H5)</f>
        <v>1100740</v>
      </c>
    </row>
    <row r="15" spans="1:8" x14ac:dyDescent="0.3">
      <c r="A15" t="s">
        <v>60</v>
      </c>
      <c r="C15" s="4">
        <v>1</v>
      </c>
      <c r="D15" s="6">
        <v>50000</v>
      </c>
      <c r="E15" s="6">
        <f t="shared" si="0"/>
        <v>50000</v>
      </c>
    </row>
    <row r="16" spans="1:8" x14ac:dyDescent="0.3">
      <c r="A16" t="s">
        <v>209</v>
      </c>
      <c r="C16" s="4">
        <v>1</v>
      </c>
      <c r="D16" s="6">
        <v>15000</v>
      </c>
      <c r="E16" s="6">
        <f t="shared" si="0"/>
        <v>15000</v>
      </c>
    </row>
    <row r="17" spans="1:5" x14ac:dyDescent="0.3">
      <c r="A17" t="s">
        <v>210</v>
      </c>
      <c r="C17" s="4">
        <v>1</v>
      </c>
      <c r="D17" s="6">
        <v>12000</v>
      </c>
      <c r="E17" s="6">
        <f t="shared" si="0"/>
        <v>12000</v>
      </c>
    </row>
    <row r="20" spans="1:5" x14ac:dyDescent="0.3">
      <c r="D20" s="3" t="s">
        <v>61</v>
      </c>
      <c r="E20" s="6">
        <f>SUM(E4:E19)</f>
        <v>726600</v>
      </c>
    </row>
    <row r="21" spans="1:5" x14ac:dyDescent="0.3">
      <c r="D21" s="3" t="s">
        <v>62</v>
      </c>
      <c r="E21" s="6">
        <f>E20*0.1</f>
        <v>72660</v>
      </c>
    </row>
    <row r="22" spans="1:5" x14ac:dyDescent="0.3">
      <c r="D22" s="3" t="s">
        <v>63</v>
      </c>
      <c r="E22" s="6">
        <f>E20+E21</f>
        <v>799260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workbookViewId="0">
      <selection activeCell="D38" sqref="D38"/>
    </sheetView>
  </sheetViews>
  <sheetFormatPr defaultRowHeight="14.4" x14ac:dyDescent="0.3"/>
  <cols>
    <col min="1" max="1" width="8.21875" bestFit="1" customWidth="1"/>
    <col min="2" max="2" width="11.109375" bestFit="1" customWidth="1"/>
    <col min="3" max="3" width="8.5546875" bestFit="1" customWidth="1"/>
    <col min="4" max="4" width="7.44140625" bestFit="1" customWidth="1"/>
    <col min="5" max="5" width="9.88671875" bestFit="1" customWidth="1"/>
    <col min="6" max="6" width="11.21875" bestFit="1" customWidth="1"/>
    <col min="8" max="8" width="22.21875" bestFit="1" customWidth="1"/>
    <col min="9" max="9" width="8.109375" bestFit="1" customWidth="1"/>
  </cols>
  <sheetData>
    <row r="1" spans="1:9" ht="18" x14ac:dyDescent="0.35">
      <c r="A1" s="32" t="s">
        <v>73</v>
      </c>
      <c r="B1" s="32"/>
      <c r="C1" s="32"/>
      <c r="D1" s="32"/>
      <c r="E1" s="32"/>
      <c r="F1" s="32"/>
      <c r="G1" s="32"/>
      <c r="H1" s="32"/>
      <c r="I1" s="32"/>
    </row>
    <row r="2" spans="1:9" x14ac:dyDescent="0.3">
      <c r="H2" s="3" t="s">
        <v>80</v>
      </c>
      <c r="I2" s="5">
        <f>Assumptions!B43/12</f>
        <v>7.9166666666666673E-3</v>
      </c>
    </row>
    <row r="3" spans="1:9" x14ac:dyDescent="0.3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H3" s="3" t="s">
        <v>81</v>
      </c>
      <c r="I3" s="6">
        <f>PMT(I2, Assumptions!B44, -Assumptions!B42)</f>
        <v>25879.511512155408</v>
      </c>
    </row>
    <row r="4" spans="1:9" x14ac:dyDescent="0.3">
      <c r="A4" s="4">
        <v>1</v>
      </c>
      <c r="B4" s="6">
        <f>Assumptions!B42</f>
        <v>2000000</v>
      </c>
      <c r="C4" s="6">
        <f t="shared" ref="C4:C67" si="0">$I$3</f>
        <v>25879.511512155408</v>
      </c>
      <c r="D4" s="6">
        <f>B4*$I$2</f>
        <v>15833.333333333334</v>
      </c>
      <c r="E4" s="6">
        <f>C4-D4</f>
        <v>10046.178178822074</v>
      </c>
      <c r="F4" s="6">
        <f>B4-E4</f>
        <v>1989953.8218211778</v>
      </c>
    </row>
    <row r="5" spans="1:9" x14ac:dyDescent="0.3">
      <c r="A5" s="4">
        <v>2</v>
      </c>
      <c r="B5" s="6">
        <f>F4</f>
        <v>1989953.8218211778</v>
      </c>
      <c r="C5" s="6">
        <f t="shared" si="0"/>
        <v>25879.511512155408</v>
      </c>
      <c r="D5" s="6">
        <f>B5*$I$2</f>
        <v>15753.801089417659</v>
      </c>
      <c r="E5" s="6">
        <f>C5-D5</f>
        <v>10125.710422737749</v>
      </c>
      <c r="F5" s="6">
        <f>B5-E5</f>
        <v>1979828.1113984401</v>
      </c>
    </row>
    <row r="6" spans="1:9" x14ac:dyDescent="0.3">
      <c r="A6" s="4">
        <v>3</v>
      </c>
      <c r="B6" s="6">
        <f t="shared" ref="B6:B69" si="1">F5</f>
        <v>1979828.1113984401</v>
      </c>
      <c r="C6" s="6">
        <f t="shared" si="0"/>
        <v>25879.511512155408</v>
      </c>
      <c r="D6" s="6">
        <f t="shared" ref="D6:D69" si="2">B6*$I$2</f>
        <v>15673.639215237652</v>
      </c>
      <c r="E6" s="6">
        <f t="shared" ref="E6:E69" si="3">C6-D6</f>
        <v>10205.872296917756</v>
      </c>
      <c r="F6" s="6">
        <f t="shared" ref="F6:F69" si="4">B6-E6</f>
        <v>1969622.2391015224</v>
      </c>
    </row>
    <row r="7" spans="1:9" x14ac:dyDescent="0.3">
      <c r="A7" s="4">
        <v>4</v>
      </c>
      <c r="B7" s="6">
        <f t="shared" si="1"/>
        <v>1969622.2391015224</v>
      </c>
      <c r="C7" s="6">
        <f t="shared" si="0"/>
        <v>25879.511512155408</v>
      </c>
      <c r="D7" s="6">
        <f t="shared" si="2"/>
        <v>15592.842726220386</v>
      </c>
      <c r="E7" s="6">
        <f t="shared" si="3"/>
        <v>10286.668785935022</v>
      </c>
      <c r="F7" s="6">
        <f t="shared" si="4"/>
        <v>1959335.5703155873</v>
      </c>
    </row>
    <row r="8" spans="1:9" x14ac:dyDescent="0.3">
      <c r="A8" s="4">
        <v>5</v>
      </c>
      <c r="B8" s="6">
        <f t="shared" si="1"/>
        <v>1959335.5703155873</v>
      </c>
      <c r="C8" s="6">
        <f t="shared" si="0"/>
        <v>25879.511512155408</v>
      </c>
      <c r="D8" s="6">
        <f t="shared" si="2"/>
        <v>15511.406598331734</v>
      </c>
      <c r="E8" s="6">
        <f t="shared" si="3"/>
        <v>10368.104913823674</v>
      </c>
      <c r="F8" s="6">
        <f t="shared" si="4"/>
        <v>1948967.4654017636</v>
      </c>
    </row>
    <row r="9" spans="1:9" x14ac:dyDescent="0.3">
      <c r="A9" s="4">
        <v>6</v>
      </c>
      <c r="B9" s="6">
        <f t="shared" si="1"/>
        <v>1948967.4654017636</v>
      </c>
      <c r="C9" s="6">
        <f t="shared" si="0"/>
        <v>25879.511512155408</v>
      </c>
      <c r="D9" s="6">
        <f t="shared" si="2"/>
        <v>15429.325767763963</v>
      </c>
      <c r="E9" s="6">
        <f t="shared" si="3"/>
        <v>10450.185744391445</v>
      </c>
      <c r="F9" s="6">
        <f t="shared" si="4"/>
        <v>1938517.279657372</v>
      </c>
    </row>
    <row r="10" spans="1:9" x14ac:dyDescent="0.3">
      <c r="A10" s="4">
        <v>7</v>
      </c>
      <c r="B10" s="6">
        <f t="shared" si="1"/>
        <v>1938517.279657372</v>
      </c>
      <c r="C10" s="6">
        <f t="shared" si="0"/>
        <v>25879.511512155408</v>
      </c>
      <c r="D10" s="6">
        <f t="shared" si="2"/>
        <v>15346.595130620863</v>
      </c>
      <c r="E10" s="6">
        <f t="shared" si="3"/>
        <v>10532.916381534546</v>
      </c>
      <c r="F10" s="6">
        <f t="shared" si="4"/>
        <v>1927984.3632758374</v>
      </c>
    </row>
    <row r="11" spans="1:9" x14ac:dyDescent="0.3">
      <c r="A11" s="4">
        <v>8</v>
      </c>
      <c r="B11" s="6">
        <f t="shared" si="1"/>
        <v>1927984.3632758374</v>
      </c>
      <c r="C11" s="6">
        <f t="shared" si="0"/>
        <v>25879.511512155408</v>
      </c>
      <c r="D11" s="6">
        <f t="shared" si="2"/>
        <v>15263.20954260038</v>
      </c>
      <c r="E11" s="6">
        <f t="shared" si="3"/>
        <v>10616.301969555028</v>
      </c>
      <c r="F11" s="6">
        <f t="shared" si="4"/>
        <v>1917368.0613062824</v>
      </c>
    </row>
    <row r="12" spans="1:9" x14ac:dyDescent="0.3">
      <c r="A12" s="4">
        <v>9</v>
      </c>
      <c r="B12" s="6">
        <f t="shared" si="1"/>
        <v>1917368.0613062824</v>
      </c>
      <c r="C12" s="6">
        <f t="shared" si="0"/>
        <v>25879.511512155408</v>
      </c>
      <c r="D12" s="6">
        <f t="shared" si="2"/>
        <v>15179.163818674737</v>
      </c>
      <c r="E12" s="6">
        <f t="shared" si="3"/>
        <v>10700.347693480671</v>
      </c>
      <c r="F12" s="6">
        <f t="shared" si="4"/>
        <v>1906667.7136128016</v>
      </c>
    </row>
    <row r="13" spans="1:9" x14ac:dyDescent="0.3">
      <c r="A13" s="4">
        <v>10</v>
      </c>
      <c r="B13" s="6">
        <f t="shared" si="1"/>
        <v>1906667.7136128016</v>
      </c>
      <c r="C13" s="6">
        <f t="shared" si="0"/>
        <v>25879.511512155408</v>
      </c>
      <c r="D13" s="6">
        <f t="shared" si="2"/>
        <v>15094.452732768013</v>
      </c>
      <c r="E13" s="6">
        <f t="shared" si="3"/>
        <v>10785.058779387395</v>
      </c>
      <c r="F13" s="6">
        <f t="shared" si="4"/>
        <v>1895882.6548334141</v>
      </c>
    </row>
    <row r="14" spans="1:9" x14ac:dyDescent="0.3">
      <c r="A14" s="4">
        <v>11</v>
      </c>
      <c r="B14" s="6">
        <f t="shared" si="1"/>
        <v>1895882.6548334141</v>
      </c>
      <c r="C14" s="6">
        <f t="shared" si="0"/>
        <v>25879.511512155408</v>
      </c>
      <c r="D14" s="6">
        <f t="shared" si="2"/>
        <v>15009.071017431197</v>
      </c>
      <c r="E14" s="6">
        <f t="shared" si="3"/>
        <v>10870.440494724211</v>
      </c>
      <c r="F14" s="6">
        <f t="shared" si="4"/>
        <v>1885012.2143386898</v>
      </c>
    </row>
    <row r="15" spans="1:9" x14ac:dyDescent="0.3">
      <c r="A15" s="4">
        <v>12</v>
      </c>
      <c r="B15" s="6">
        <f t="shared" si="1"/>
        <v>1885012.2143386898</v>
      </c>
      <c r="C15" s="6">
        <f t="shared" si="0"/>
        <v>25879.511512155408</v>
      </c>
      <c r="D15" s="6">
        <f t="shared" si="2"/>
        <v>14923.013363514629</v>
      </c>
      <c r="E15" s="6">
        <f t="shared" si="3"/>
        <v>10956.49814864078</v>
      </c>
      <c r="F15" s="6">
        <f t="shared" si="4"/>
        <v>1874055.716190049</v>
      </c>
    </row>
    <row r="16" spans="1:9" x14ac:dyDescent="0.3">
      <c r="A16" s="4">
        <v>13</v>
      </c>
      <c r="B16" s="6">
        <f t="shared" si="1"/>
        <v>1874055.716190049</v>
      </c>
      <c r="C16" s="6">
        <f t="shared" si="0"/>
        <v>25879.511512155408</v>
      </c>
      <c r="D16" s="6">
        <f t="shared" si="2"/>
        <v>14836.27441983789</v>
      </c>
      <c r="E16" s="6">
        <f t="shared" si="3"/>
        <v>11043.237092317519</v>
      </c>
      <c r="F16" s="6">
        <f t="shared" si="4"/>
        <v>1863012.4790977314</v>
      </c>
    </row>
    <row r="17" spans="1:6" x14ac:dyDescent="0.3">
      <c r="A17" s="4">
        <v>14</v>
      </c>
      <c r="B17" s="6">
        <f t="shared" si="1"/>
        <v>1863012.4790977314</v>
      </c>
      <c r="C17" s="6">
        <f t="shared" si="0"/>
        <v>25879.511512155408</v>
      </c>
      <c r="D17" s="6">
        <f t="shared" si="2"/>
        <v>14748.848792857041</v>
      </c>
      <c r="E17" s="6">
        <f t="shared" si="3"/>
        <v>11130.662719298367</v>
      </c>
      <c r="F17" s="6">
        <f t="shared" si="4"/>
        <v>1851881.816378433</v>
      </c>
    </row>
    <row r="18" spans="1:6" x14ac:dyDescent="0.3">
      <c r="A18" s="4">
        <v>15</v>
      </c>
      <c r="B18" s="6">
        <f t="shared" si="1"/>
        <v>1851881.816378433</v>
      </c>
      <c r="C18" s="6">
        <f t="shared" si="0"/>
        <v>25879.511512155408</v>
      </c>
      <c r="D18" s="6">
        <f t="shared" si="2"/>
        <v>14660.731046329263</v>
      </c>
      <c r="E18" s="6">
        <f t="shared" si="3"/>
        <v>11218.780465826145</v>
      </c>
      <c r="F18" s="6">
        <f t="shared" si="4"/>
        <v>1840663.0359126069</v>
      </c>
    </row>
    <row r="19" spans="1:6" x14ac:dyDescent="0.3">
      <c r="A19" s="4">
        <v>16</v>
      </c>
      <c r="B19" s="6">
        <f t="shared" si="1"/>
        <v>1840663.0359126069</v>
      </c>
      <c r="C19" s="6">
        <f t="shared" si="0"/>
        <v>25879.511512155408</v>
      </c>
      <c r="D19" s="6">
        <f t="shared" si="2"/>
        <v>14571.915700974805</v>
      </c>
      <c r="E19" s="6">
        <f t="shared" si="3"/>
        <v>11307.595811180603</v>
      </c>
      <c r="F19" s="6">
        <f t="shared" si="4"/>
        <v>1829355.4401014263</v>
      </c>
    </row>
    <row r="20" spans="1:6" x14ac:dyDescent="0.3">
      <c r="A20" s="4">
        <v>17</v>
      </c>
      <c r="B20" s="6">
        <f t="shared" si="1"/>
        <v>1829355.4401014263</v>
      </c>
      <c r="C20" s="6">
        <f t="shared" si="0"/>
        <v>25879.511512155408</v>
      </c>
      <c r="D20" s="6">
        <f t="shared" si="2"/>
        <v>14482.397234136293</v>
      </c>
      <c r="E20" s="6">
        <f t="shared" si="3"/>
        <v>11397.114278019115</v>
      </c>
      <c r="F20" s="6">
        <f t="shared" si="4"/>
        <v>1817958.3258234072</v>
      </c>
    </row>
    <row r="21" spans="1:6" x14ac:dyDescent="0.3">
      <c r="A21" s="4">
        <v>18</v>
      </c>
      <c r="B21" s="6">
        <f t="shared" si="1"/>
        <v>1817958.3258234072</v>
      </c>
      <c r="C21" s="6">
        <f t="shared" si="0"/>
        <v>25879.511512155408</v>
      </c>
      <c r="D21" s="6">
        <f t="shared" si="2"/>
        <v>14392.170079435307</v>
      </c>
      <c r="E21" s="6">
        <f t="shared" si="3"/>
        <v>11487.341432720101</v>
      </c>
      <c r="F21" s="6">
        <f t="shared" si="4"/>
        <v>1806470.984390687</v>
      </c>
    </row>
    <row r="22" spans="1:6" x14ac:dyDescent="0.3">
      <c r="A22" s="4">
        <v>19</v>
      </c>
      <c r="B22" s="6">
        <f t="shared" si="1"/>
        <v>1806470.984390687</v>
      </c>
      <c r="C22" s="6">
        <f t="shared" si="0"/>
        <v>25879.511512155408</v>
      </c>
      <c r="D22" s="6">
        <f t="shared" si="2"/>
        <v>14301.228626426273</v>
      </c>
      <c r="E22" s="6">
        <f t="shared" si="3"/>
        <v>11578.282885729135</v>
      </c>
      <c r="F22" s="6">
        <f t="shared" si="4"/>
        <v>1794892.7015049579</v>
      </c>
    </row>
    <row r="23" spans="1:6" x14ac:dyDescent="0.3">
      <c r="A23" s="4">
        <v>20</v>
      </c>
      <c r="B23" s="6">
        <f t="shared" si="1"/>
        <v>1794892.7015049579</v>
      </c>
      <c r="C23" s="6">
        <f t="shared" si="0"/>
        <v>25879.511512155408</v>
      </c>
      <c r="D23" s="6">
        <f t="shared" si="2"/>
        <v>14209.567220247583</v>
      </c>
      <c r="E23" s="6">
        <f t="shared" si="3"/>
        <v>11669.944291907825</v>
      </c>
      <c r="F23" s="6">
        <f t="shared" si="4"/>
        <v>1783222.75721305</v>
      </c>
    </row>
    <row r="24" spans="1:6" x14ac:dyDescent="0.3">
      <c r="A24" s="4">
        <v>21</v>
      </c>
      <c r="B24" s="6">
        <f t="shared" si="1"/>
        <v>1783222.75721305</v>
      </c>
      <c r="C24" s="6">
        <f t="shared" si="0"/>
        <v>25879.511512155408</v>
      </c>
      <c r="D24" s="6">
        <f t="shared" si="2"/>
        <v>14117.18016126998</v>
      </c>
      <c r="E24" s="6">
        <f t="shared" si="3"/>
        <v>11762.331350885428</v>
      </c>
      <c r="F24" s="6">
        <f t="shared" si="4"/>
        <v>1771460.4258621647</v>
      </c>
    </row>
    <row r="25" spans="1:6" x14ac:dyDescent="0.3">
      <c r="A25" s="4">
        <v>22</v>
      </c>
      <c r="B25" s="6">
        <f t="shared" si="1"/>
        <v>1771460.4258621647</v>
      </c>
      <c r="C25" s="6">
        <f t="shared" si="0"/>
        <v>25879.511512155408</v>
      </c>
      <c r="D25" s="6">
        <f t="shared" si="2"/>
        <v>14024.061704742138</v>
      </c>
      <c r="E25" s="6">
        <f t="shared" si="3"/>
        <v>11855.44980741327</v>
      </c>
      <c r="F25" s="6">
        <f t="shared" si="4"/>
        <v>1759604.9760547515</v>
      </c>
    </row>
    <row r="26" spans="1:6" x14ac:dyDescent="0.3">
      <c r="A26" s="4">
        <v>23</v>
      </c>
      <c r="B26" s="6">
        <f t="shared" si="1"/>
        <v>1759604.9760547515</v>
      </c>
      <c r="C26" s="6">
        <f t="shared" si="0"/>
        <v>25879.511512155408</v>
      </c>
      <c r="D26" s="6">
        <f t="shared" si="2"/>
        <v>13930.206060433451</v>
      </c>
      <c r="E26" s="6">
        <f t="shared" si="3"/>
        <v>11949.305451721957</v>
      </c>
      <c r="F26" s="6">
        <f t="shared" si="4"/>
        <v>1747655.6706030297</v>
      </c>
    </row>
    <row r="27" spans="1:6" x14ac:dyDescent="0.3">
      <c r="A27" s="4">
        <v>24</v>
      </c>
      <c r="B27" s="6">
        <f t="shared" si="1"/>
        <v>1747655.6706030297</v>
      </c>
      <c r="C27" s="6">
        <f t="shared" si="0"/>
        <v>25879.511512155408</v>
      </c>
      <c r="D27" s="6">
        <f t="shared" si="2"/>
        <v>13835.607392273985</v>
      </c>
      <c r="E27" s="6">
        <f t="shared" si="3"/>
        <v>12043.904119881423</v>
      </c>
      <c r="F27" s="6">
        <f t="shared" si="4"/>
        <v>1735611.7664831483</v>
      </c>
    </row>
    <row r="28" spans="1:6" x14ac:dyDescent="0.3">
      <c r="A28" s="4">
        <v>25</v>
      </c>
      <c r="B28" s="6">
        <f t="shared" si="1"/>
        <v>1735611.7664831483</v>
      </c>
      <c r="C28" s="6">
        <f t="shared" si="0"/>
        <v>25879.511512155408</v>
      </c>
      <c r="D28" s="6">
        <f t="shared" si="2"/>
        <v>13740.259817991591</v>
      </c>
      <c r="E28" s="6">
        <f t="shared" si="3"/>
        <v>12139.251694163817</v>
      </c>
      <c r="F28" s="6">
        <f t="shared" si="4"/>
        <v>1723472.5147889846</v>
      </c>
    </row>
    <row r="29" spans="1:6" x14ac:dyDescent="0.3">
      <c r="A29" s="4">
        <v>26</v>
      </c>
      <c r="B29" s="6">
        <f t="shared" si="1"/>
        <v>1723472.5147889846</v>
      </c>
      <c r="C29" s="6">
        <f t="shared" si="0"/>
        <v>25879.511512155408</v>
      </c>
      <c r="D29" s="6">
        <f t="shared" si="2"/>
        <v>13644.157408746129</v>
      </c>
      <c r="E29" s="6">
        <f t="shared" si="3"/>
        <v>12235.35410340928</v>
      </c>
      <c r="F29" s="6">
        <f t="shared" si="4"/>
        <v>1711237.1606855753</v>
      </c>
    </row>
    <row r="30" spans="1:6" x14ac:dyDescent="0.3">
      <c r="A30" s="4">
        <v>27</v>
      </c>
      <c r="B30" s="6">
        <f t="shared" si="1"/>
        <v>1711237.1606855753</v>
      </c>
      <c r="C30" s="6">
        <f t="shared" si="0"/>
        <v>25879.511512155408</v>
      </c>
      <c r="D30" s="6">
        <f t="shared" si="2"/>
        <v>13547.294188760807</v>
      </c>
      <c r="E30" s="6">
        <f t="shared" si="3"/>
        <v>12332.217323394601</v>
      </c>
      <c r="F30" s="6">
        <f t="shared" si="4"/>
        <v>1698904.9433621808</v>
      </c>
    </row>
    <row r="31" spans="1:6" x14ac:dyDescent="0.3">
      <c r="A31" s="4">
        <v>28</v>
      </c>
      <c r="B31" s="6">
        <f t="shared" si="1"/>
        <v>1698904.9433621808</v>
      </c>
      <c r="C31" s="6">
        <f t="shared" si="0"/>
        <v>25879.511512155408</v>
      </c>
      <c r="D31" s="6">
        <f t="shared" si="2"/>
        <v>13449.664134950599</v>
      </c>
      <c r="E31" s="6">
        <f t="shared" si="3"/>
        <v>12429.847377204809</v>
      </c>
      <c r="F31" s="6">
        <f t="shared" si="4"/>
        <v>1686475.095984976</v>
      </c>
    </row>
    <row r="32" spans="1:6" x14ac:dyDescent="0.3">
      <c r="A32" s="4">
        <v>29</v>
      </c>
      <c r="B32" s="6">
        <f t="shared" si="1"/>
        <v>1686475.095984976</v>
      </c>
      <c r="C32" s="6">
        <f t="shared" si="0"/>
        <v>25879.511512155408</v>
      </c>
      <c r="D32" s="6">
        <f t="shared" si="2"/>
        <v>13351.261176547729</v>
      </c>
      <c r="E32" s="6">
        <f t="shared" si="3"/>
        <v>12528.25033560768</v>
      </c>
      <c r="F32" s="6">
        <f t="shared" si="4"/>
        <v>1673946.8456493684</v>
      </c>
    </row>
    <row r="33" spans="1:6" x14ac:dyDescent="0.3">
      <c r="A33" s="4">
        <v>30</v>
      </c>
      <c r="B33" s="6">
        <f t="shared" si="1"/>
        <v>1673946.8456493684</v>
      </c>
      <c r="C33" s="6">
        <f t="shared" si="0"/>
        <v>25879.511512155408</v>
      </c>
      <c r="D33" s="6">
        <f t="shared" si="2"/>
        <v>13252.079194724167</v>
      </c>
      <c r="E33" s="6">
        <f t="shared" si="3"/>
        <v>12627.432317431241</v>
      </c>
      <c r="F33" s="6">
        <f t="shared" si="4"/>
        <v>1661319.413331937</v>
      </c>
    </row>
    <row r="34" spans="1:6" x14ac:dyDescent="0.3">
      <c r="A34" s="4">
        <v>31</v>
      </c>
      <c r="B34" s="6">
        <f t="shared" si="1"/>
        <v>1661319.413331937</v>
      </c>
      <c r="C34" s="6">
        <f t="shared" si="0"/>
        <v>25879.511512155408</v>
      </c>
      <c r="D34" s="6">
        <f t="shared" si="2"/>
        <v>13152.112022211169</v>
      </c>
      <c r="E34" s="6">
        <f t="shared" si="3"/>
        <v>12727.399489944239</v>
      </c>
      <c r="F34" s="6">
        <f t="shared" si="4"/>
        <v>1648592.0138419927</v>
      </c>
    </row>
    <row r="35" spans="1:6" x14ac:dyDescent="0.3">
      <c r="A35" s="4">
        <v>32</v>
      </c>
      <c r="B35" s="6">
        <f t="shared" si="1"/>
        <v>1648592.0138419927</v>
      </c>
      <c r="C35" s="6">
        <f t="shared" si="0"/>
        <v>25879.511512155408</v>
      </c>
      <c r="D35" s="6">
        <f t="shared" si="2"/>
        <v>13051.353442915777</v>
      </c>
      <c r="E35" s="6">
        <f t="shared" si="3"/>
        <v>12828.158069239631</v>
      </c>
      <c r="F35" s="6">
        <f t="shared" si="4"/>
        <v>1635763.855772753</v>
      </c>
    </row>
    <row r="36" spans="1:6" x14ac:dyDescent="0.3">
      <c r="A36" s="4">
        <v>33</v>
      </c>
      <c r="B36" s="6">
        <f t="shared" si="1"/>
        <v>1635763.855772753</v>
      </c>
      <c r="C36" s="6">
        <f t="shared" si="0"/>
        <v>25879.511512155408</v>
      </c>
      <c r="D36" s="6">
        <f t="shared" si="2"/>
        <v>12949.797191534295</v>
      </c>
      <c r="E36" s="6">
        <f t="shared" si="3"/>
        <v>12929.714320621113</v>
      </c>
      <c r="F36" s="6">
        <f t="shared" si="4"/>
        <v>1622834.1414521318</v>
      </c>
    </row>
    <row r="37" spans="1:6" x14ac:dyDescent="0.3">
      <c r="A37" s="4">
        <v>34</v>
      </c>
      <c r="B37" s="6">
        <f t="shared" si="1"/>
        <v>1622834.1414521318</v>
      </c>
      <c r="C37" s="6">
        <f t="shared" si="0"/>
        <v>25879.511512155408</v>
      </c>
      <c r="D37" s="6">
        <f t="shared" si="2"/>
        <v>12847.436953162711</v>
      </c>
      <c r="E37" s="6">
        <f t="shared" si="3"/>
        <v>13032.074558992697</v>
      </c>
      <c r="F37" s="6">
        <f t="shared" si="4"/>
        <v>1609802.0668931392</v>
      </c>
    </row>
    <row r="38" spans="1:6" x14ac:dyDescent="0.3">
      <c r="A38" s="4">
        <v>35</v>
      </c>
      <c r="B38" s="6">
        <f t="shared" si="1"/>
        <v>1609802.0668931392</v>
      </c>
      <c r="C38" s="6">
        <f t="shared" si="0"/>
        <v>25879.511512155408</v>
      </c>
      <c r="D38" s="6">
        <f t="shared" si="2"/>
        <v>12744.26636290402</v>
      </c>
      <c r="E38" s="6">
        <f t="shared" si="3"/>
        <v>13135.245149251388</v>
      </c>
      <c r="F38" s="6">
        <f t="shared" si="4"/>
        <v>1596666.8217438878</v>
      </c>
    </row>
    <row r="39" spans="1:6" x14ac:dyDescent="0.3">
      <c r="A39" s="4">
        <v>36</v>
      </c>
      <c r="B39" s="6">
        <f t="shared" si="1"/>
        <v>1596666.8217438878</v>
      </c>
      <c r="C39" s="6">
        <f t="shared" si="0"/>
        <v>25879.511512155408</v>
      </c>
      <c r="D39" s="6">
        <f t="shared" si="2"/>
        <v>12640.279005472446</v>
      </c>
      <c r="E39" s="6">
        <f t="shared" si="3"/>
        <v>13239.232506682962</v>
      </c>
      <c r="F39" s="6">
        <f t="shared" si="4"/>
        <v>1583427.589237205</v>
      </c>
    </row>
    <row r="40" spans="1:6" x14ac:dyDescent="0.3">
      <c r="A40" s="4">
        <v>37</v>
      </c>
      <c r="B40" s="6">
        <f t="shared" si="1"/>
        <v>1583427.589237205</v>
      </c>
      <c r="C40" s="6">
        <f t="shared" si="0"/>
        <v>25879.511512155408</v>
      </c>
      <c r="D40" s="6">
        <f t="shared" si="2"/>
        <v>12535.468414794541</v>
      </c>
      <c r="E40" s="6">
        <f t="shared" si="3"/>
        <v>13344.043097360867</v>
      </c>
      <c r="F40" s="6">
        <f t="shared" si="4"/>
        <v>1570083.5461398442</v>
      </c>
    </row>
    <row r="41" spans="1:6" x14ac:dyDescent="0.3">
      <c r="A41" s="4">
        <v>38</v>
      </c>
      <c r="B41" s="6">
        <f t="shared" si="1"/>
        <v>1570083.5461398442</v>
      </c>
      <c r="C41" s="6">
        <f t="shared" si="0"/>
        <v>25879.511512155408</v>
      </c>
      <c r="D41" s="6">
        <f t="shared" si="2"/>
        <v>12429.828073607101</v>
      </c>
      <c r="E41" s="6">
        <f t="shared" si="3"/>
        <v>13449.683438548307</v>
      </c>
      <c r="F41" s="6">
        <f t="shared" si="4"/>
        <v>1556633.8627012959</v>
      </c>
    </row>
    <row r="42" spans="1:6" x14ac:dyDescent="0.3">
      <c r="A42" s="4">
        <v>39</v>
      </c>
      <c r="B42" s="6">
        <f t="shared" si="1"/>
        <v>1556633.8627012959</v>
      </c>
      <c r="C42" s="6">
        <f t="shared" si="0"/>
        <v>25879.511512155408</v>
      </c>
      <c r="D42" s="6">
        <f t="shared" si="2"/>
        <v>12323.351413051927</v>
      </c>
      <c r="E42" s="6">
        <f t="shared" si="3"/>
        <v>13556.160099103481</v>
      </c>
      <c r="F42" s="6">
        <f t="shared" si="4"/>
        <v>1543077.7026021923</v>
      </c>
    </row>
    <row r="43" spans="1:6" x14ac:dyDescent="0.3">
      <c r="A43" s="4">
        <v>40</v>
      </c>
      <c r="B43" s="6">
        <f t="shared" si="1"/>
        <v>1543077.7026021923</v>
      </c>
      <c r="C43" s="6">
        <f t="shared" si="0"/>
        <v>25879.511512155408</v>
      </c>
      <c r="D43" s="6">
        <f t="shared" si="2"/>
        <v>12216.031812267356</v>
      </c>
      <c r="E43" s="6">
        <f t="shared" si="3"/>
        <v>13663.479699888052</v>
      </c>
      <c r="F43" s="6">
        <f t="shared" si="4"/>
        <v>1529414.2229023043</v>
      </c>
    </row>
    <row r="44" spans="1:6" x14ac:dyDescent="0.3">
      <c r="A44" s="4">
        <v>41</v>
      </c>
      <c r="B44" s="6">
        <f t="shared" si="1"/>
        <v>1529414.2229023043</v>
      </c>
      <c r="C44" s="6">
        <f t="shared" si="0"/>
        <v>25879.511512155408</v>
      </c>
      <c r="D44" s="6">
        <f t="shared" si="2"/>
        <v>12107.862597976577</v>
      </c>
      <c r="E44" s="6">
        <f t="shared" si="3"/>
        <v>13771.648914178832</v>
      </c>
      <c r="F44" s="6">
        <f t="shared" si="4"/>
        <v>1515642.5739881254</v>
      </c>
    </row>
    <row r="45" spans="1:6" x14ac:dyDescent="0.3">
      <c r="A45" s="4">
        <v>42</v>
      </c>
      <c r="B45" s="6">
        <f t="shared" si="1"/>
        <v>1515642.5739881254</v>
      </c>
      <c r="C45" s="6">
        <f t="shared" si="0"/>
        <v>25879.511512155408</v>
      </c>
      <c r="D45" s="6">
        <f t="shared" si="2"/>
        <v>11998.837044072661</v>
      </c>
      <c r="E45" s="6">
        <f t="shared" si="3"/>
        <v>13880.674468082747</v>
      </c>
      <c r="F45" s="6">
        <f t="shared" si="4"/>
        <v>1501761.8995200426</v>
      </c>
    </row>
    <row r="46" spans="1:6" x14ac:dyDescent="0.3">
      <c r="A46" s="4">
        <v>43</v>
      </c>
      <c r="B46" s="6">
        <f t="shared" si="1"/>
        <v>1501761.8995200426</v>
      </c>
      <c r="C46" s="6">
        <f t="shared" si="0"/>
        <v>25879.511512155408</v>
      </c>
      <c r="D46" s="6">
        <f t="shared" si="2"/>
        <v>11888.948371200338</v>
      </c>
      <c r="E46" s="6">
        <f t="shared" si="3"/>
        <v>13990.56314095507</v>
      </c>
      <c r="F46" s="6">
        <f t="shared" si="4"/>
        <v>1487771.3363790875</v>
      </c>
    </row>
    <row r="47" spans="1:6" x14ac:dyDescent="0.3">
      <c r="A47" s="4">
        <v>44</v>
      </c>
      <c r="B47" s="6">
        <f t="shared" si="1"/>
        <v>1487771.3363790875</v>
      </c>
      <c r="C47" s="6">
        <f t="shared" si="0"/>
        <v>25879.511512155408</v>
      </c>
      <c r="D47" s="6">
        <f t="shared" si="2"/>
        <v>11778.189746334443</v>
      </c>
      <c r="E47" s="6">
        <f t="shared" si="3"/>
        <v>14101.321765820965</v>
      </c>
      <c r="F47" s="6">
        <f t="shared" si="4"/>
        <v>1473670.0146132666</v>
      </c>
    </row>
    <row r="48" spans="1:6" x14ac:dyDescent="0.3">
      <c r="A48" s="4">
        <v>45</v>
      </c>
      <c r="B48" s="6">
        <f t="shared" si="1"/>
        <v>1473670.0146132666</v>
      </c>
      <c r="C48" s="6">
        <f t="shared" si="0"/>
        <v>25879.511512155408</v>
      </c>
      <c r="D48" s="6">
        <f t="shared" si="2"/>
        <v>11666.554282355028</v>
      </c>
      <c r="E48" s="6">
        <f t="shared" si="3"/>
        <v>14212.95722980038</v>
      </c>
      <c r="F48" s="6">
        <f t="shared" si="4"/>
        <v>1459457.0573834663</v>
      </c>
    </row>
    <row r="49" spans="1:6" x14ac:dyDescent="0.3">
      <c r="A49" s="4">
        <v>46</v>
      </c>
      <c r="B49" s="6">
        <f t="shared" si="1"/>
        <v>1459457.0573834663</v>
      </c>
      <c r="C49" s="6">
        <f t="shared" si="0"/>
        <v>25879.511512155408</v>
      </c>
      <c r="D49" s="6">
        <f t="shared" si="2"/>
        <v>11554.035037619109</v>
      </c>
      <c r="E49" s="6">
        <f t="shared" si="3"/>
        <v>14325.476474536299</v>
      </c>
      <c r="F49" s="6">
        <f t="shared" si="4"/>
        <v>1445131.5809089299</v>
      </c>
    </row>
    <row r="50" spans="1:6" x14ac:dyDescent="0.3">
      <c r="A50" s="4">
        <v>47</v>
      </c>
      <c r="B50" s="6">
        <f t="shared" si="1"/>
        <v>1445131.5809089299</v>
      </c>
      <c r="C50" s="6">
        <f t="shared" si="0"/>
        <v>25879.511512155408</v>
      </c>
      <c r="D50" s="6">
        <f t="shared" si="2"/>
        <v>11440.625015529029</v>
      </c>
      <c r="E50" s="6">
        <f t="shared" si="3"/>
        <v>14438.886496626379</v>
      </c>
      <c r="F50" s="6">
        <f t="shared" si="4"/>
        <v>1430692.6944123036</v>
      </c>
    </row>
    <row r="51" spans="1:6" x14ac:dyDescent="0.3">
      <c r="A51" s="4">
        <v>48</v>
      </c>
      <c r="B51" s="6">
        <f t="shared" si="1"/>
        <v>1430692.6944123036</v>
      </c>
      <c r="C51" s="6">
        <f t="shared" si="0"/>
        <v>25879.511512155408</v>
      </c>
      <c r="D51" s="6">
        <f t="shared" si="2"/>
        <v>11326.317164097405</v>
      </c>
      <c r="E51" s="6">
        <f t="shared" si="3"/>
        <v>14553.194348058003</v>
      </c>
      <c r="F51" s="6">
        <f t="shared" si="4"/>
        <v>1416139.5000642457</v>
      </c>
    </row>
    <row r="52" spans="1:6" x14ac:dyDescent="0.3">
      <c r="A52" s="4">
        <v>49</v>
      </c>
      <c r="B52" s="6">
        <f t="shared" si="1"/>
        <v>1416139.5000642457</v>
      </c>
      <c r="C52" s="6">
        <f t="shared" si="0"/>
        <v>25879.511512155408</v>
      </c>
      <c r="D52" s="6">
        <f t="shared" si="2"/>
        <v>11211.104375508612</v>
      </c>
      <c r="E52" s="6">
        <f t="shared" si="3"/>
        <v>14668.407136646796</v>
      </c>
      <c r="F52" s="6">
        <f t="shared" si="4"/>
        <v>1401471.0929275989</v>
      </c>
    </row>
    <row r="53" spans="1:6" x14ac:dyDescent="0.3">
      <c r="A53" s="4">
        <v>50</v>
      </c>
      <c r="B53" s="6">
        <f t="shared" si="1"/>
        <v>1401471.0929275989</v>
      </c>
      <c r="C53" s="6">
        <f t="shared" si="0"/>
        <v>25879.511512155408</v>
      </c>
      <c r="D53" s="6">
        <f t="shared" si="2"/>
        <v>11094.979485676826</v>
      </c>
      <c r="E53" s="6">
        <f t="shared" si="3"/>
        <v>14784.532026478582</v>
      </c>
      <c r="F53" s="6">
        <f t="shared" si="4"/>
        <v>1386686.5609011203</v>
      </c>
    </row>
    <row r="54" spans="1:6" x14ac:dyDescent="0.3">
      <c r="A54" s="4">
        <v>51</v>
      </c>
      <c r="B54" s="6">
        <f t="shared" si="1"/>
        <v>1386686.5609011203</v>
      </c>
      <c r="C54" s="6">
        <f t="shared" si="0"/>
        <v>25879.511512155408</v>
      </c>
      <c r="D54" s="6">
        <f t="shared" si="2"/>
        <v>10977.935273800536</v>
      </c>
      <c r="E54" s="6">
        <f t="shared" si="3"/>
        <v>14901.576238354872</v>
      </c>
      <c r="F54" s="6">
        <f t="shared" si="4"/>
        <v>1371784.9846627654</v>
      </c>
    </row>
    <row r="55" spans="1:6" x14ac:dyDescent="0.3">
      <c r="A55" s="4">
        <v>52</v>
      </c>
      <c r="B55" s="6">
        <f t="shared" si="1"/>
        <v>1371784.9846627654</v>
      </c>
      <c r="C55" s="6">
        <f t="shared" si="0"/>
        <v>25879.511512155408</v>
      </c>
      <c r="D55" s="6">
        <f t="shared" si="2"/>
        <v>10859.96446191356</v>
      </c>
      <c r="E55" s="6">
        <f t="shared" si="3"/>
        <v>15019.547050241848</v>
      </c>
      <c r="F55" s="6">
        <f t="shared" si="4"/>
        <v>1356765.4376125236</v>
      </c>
    </row>
    <row r="56" spans="1:6" x14ac:dyDescent="0.3">
      <c r="A56" s="4">
        <v>53</v>
      </c>
      <c r="B56" s="6">
        <f t="shared" si="1"/>
        <v>1356765.4376125236</v>
      </c>
      <c r="C56" s="6">
        <f t="shared" si="0"/>
        <v>25879.511512155408</v>
      </c>
      <c r="D56" s="6">
        <f t="shared" si="2"/>
        <v>10741.059714432478</v>
      </c>
      <c r="E56" s="6">
        <f t="shared" si="3"/>
        <v>15138.45179772293</v>
      </c>
      <c r="F56" s="6">
        <f t="shared" si="4"/>
        <v>1341626.9858148007</v>
      </c>
    </row>
    <row r="57" spans="1:6" x14ac:dyDescent="0.3">
      <c r="A57" s="4">
        <v>54</v>
      </c>
      <c r="B57" s="6">
        <f t="shared" si="1"/>
        <v>1341626.9858148007</v>
      </c>
      <c r="C57" s="6">
        <f t="shared" si="0"/>
        <v>25879.511512155408</v>
      </c>
      <c r="D57" s="6">
        <f t="shared" si="2"/>
        <v>10621.213637700506</v>
      </c>
      <c r="E57" s="6">
        <f t="shared" si="3"/>
        <v>15258.297874454902</v>
      </c>
      <c r="F57" s="6">
        <f t="shared" si="4"/>
        <v>1326368.6879403458</v>
      </c>
    </row>
    <row r="58" spans="1:6" x14ac:dyDescent="0.3">
      <c r="A58" s="4">
        <v>55</v>
      </c>
      <c r="B58" s="6">
        <f t="shared" si="1"/>
        <v>1326368.6879403458</v>
      </c>
      <c r="C58" s="6">
        <f t="shared" si="0"/>
        <v>25879.511512155408</v>
      </c>
      <c r="D58" s="6">
        <f t="shared" si="2"/>
        <v>10500.418779527739</v>
      </c>
      <c r="E58" s="6">
        <f t="shared" si="3"/>
        <v>15379.092732627669</v>
      </c>
      <c r="F58" s="6">
        <f t="shared" si="4"/>
        <v>1310989.5952077182</v>
      </c>
    </row>
    <row r="59" spans="1:6" x14ac:dyDescent="0.3">
      <c r="A59" s="4">
        <v>56</v>
      </c>
      <c r="B59" s="6">
        <f t="shared" si="1"/>
        <v>1310989.5952077182</v>
      </c>
      <c r="C59" s="6">
        <f t="shared" si="0"/>
        <v>25879.511512155408</v>
      </c>
      <c r="D59" s="6">
        <f t="shared" si="2"/>
        <v>10378.66762872777</v>
      </c>
      <c r="E59" s="6">
        <f t="shared" si="3"/>
        <v>15500.843883427639</v>
      </c>
      <c r="F59" s="6">
        <f t="shared" si="4"/>
        <v>1295488.7513242906</v>
      </c>
    </row>
    <row r="60" spans="1:6" x14ac:dyDescent="0.3">
      <c r="A60" s="4">
        <v>57</v>
      </c>
      <c r="B60" s="6">
        <f t="shared" si="1"/>
        <v>1295488.7513242906</v>
      </c>
      <c r="C60" s="6">
        <f t="shared" si="0"/>
        <v>25879.511512155408</v>
      </c>
      <c r="D60" s="6">
        <f t="shared" si="2"/>
        <v>10255.952614650636</v>
      </c>
      <c r="E60" s="6">
        <f t="shared" si="3"/>
        <v>15623.558897504772</v>
      </c>
      <c r="F60" s="6">
        <f t="shared" si="4"/>
        <v>1279865.1924267858</v>
      </c>
    </row>
    <row r="61" spans="1:6" x14ac:dyDescent="0.3">
      <c r="A61" s="4">
        <v>58</v>
      </c>
      <c r="B61" s="6">
        <f t="shared" si="1"/>
        <v>1279865.1924267858</v>
      </c>
      <c r="C61" s="6">
        <f t="shared" si="0"/>
        <v>25879.511512155408</v>
      </c>
      <c r="D61" s="6">
        <f t="shared" si="2"/>
        <v>10132.266106712055</v>
      </c>
      <c r="E61" s="6">
        <f t="shared" si="3"/>
        <v>15747.245405443353</v>
      </c>
      <c r="F61" s="6">
        <f t="shared" si="4"/>
        <v>1264117.9470213426</v>
      </c>
    </row>
    <row r="62" spans="1:6" x14ac:dyDescent="0.3">
      <c r="A62" s="4">
        <v>59</v>
      </c>
      <c r="B62" s="6">
        <f t="shared" si="1"/>
        <v>1264117.9470213426</v>
      </c>
      <c r="C62" s="6">
        <f t="shared" si="0"/>
        <v>25879.511512155408</v>
      </c>
      <c r="D62" s="6">
        <f t="shared" si="2"/>
        <v>10007.600413918963</v>
      </c>
      <c r="E62" s="6">
        <f t="shared" si="3"/>
        <v>15871.911098236445</v>
      </c>
      <c r="F62" s="6">
        <f t="shared" si="4"/>
        <v>1248246.0359231061</v>
      </c>
    </row>
    <row r="63" spans="1:6" x14ac:dyDescent="0.3">
      <c r="A63" s="4">
        <v>60</v>
      </c>
      <c r="B63" s="6">
        <f t="shared" si="1"/>
        <v>1248246.0359231061</v>
      </c>
      <c r="C63" s="6">
        <f t="shared" si="0"/>
        <v>25879.511512155408</v>
      </c>
      <c r="D63" s="6">
        <f t="shared" si="2"/>
        <v>9881.9477843912573</v>
      </c>
      <c r="E63" s="6">
        <f t="shared" si="3"/>
        <v>15997.563727764151</v>
      </c>
      <c r="F63" s="6">
        <f t="shared" si="4"/>
        <v>1232248.472195342</v>
      </c>
    </row>
    <row r="64" spans="1:6" x14ac:dyDescent="0.3">
      <c r="A64" s="4">
        <v>61</v>
      </c>
      <c r="B64" s="6">
        <f t="shared" si="1"/>
        <v>1232248.472195342</v>
      </c>
      <c r="C64" s="6">
        <f t="shared" si="0"/>
        <v>25879.511512155408</v>
      </c>
      <c r="D64" s="6">
        <f t="shared" si="2"/>
        <v>9755.300404879792</v>
      </c>
      <c r="E64" s="6">
        <f t="shared" si="3"/>
        <v>16124.211107275616</v>
      </c>
      <c r="F64" s="6">
        <f t="shared" si="4"/>
        <v>1216124.2610880663</v>
      </c>
    </row>
    <row r="65" spans="1:6" x14ac:dyDescent="0.3">
      <c r="A65" s="4">
        <v>62</v>
      </c>
      <c r="B65" s="6">
        <f t="shared" si="1"/>
        <v>1216124.2610880663</v>
      </c>
      <c r="C65" s="6">
        <f t="shared" si="0"/>
        <v>25879.511512155408</v>
      </c>
      <c r="D65" s="6">
        <f t="shared" si="2"/>
        <v>9627.650400280525</v>
      </c>
      <c r="E65" s="6">
        <f t="shared" si="3"/>
        <v>16251.861111874883</v>
      </c>
      <c r="F65" s="6">
        <f t="shared" si="4"/>
        <v>1199872.3999761913</v>
      </c>
    </row>
    <row r="66" spans="1:6" x14ac:dyDescent="0.3">
      <c r="A66" s="4">
        <v>63</v>
      </c>
      <c r="B66" s="6">
        <f t="shared" si="1"/>
        <v>1199872.3999761913</v>
      </c>
      <c r="C66" s="6">
        <f t="shared" si="0"/>
        <v>25879.511512155408</v>
      </c>
      <c r="D66" s="6">
        <f t="shared" si="2"/>
        <v>9498.9898331448494</v>
      </c>
      <c r="E66" s="6">
        <f t="shared" si="3"/>
        <v>16380.521679010559</v>
      </c>
      <c r="F66" s="6">
        <f t="shared" si="4"/>
        <v>1183491.8782971809</v>
      </c>
    </row>
    <row r="67" spans="1:6" x14ac:dyDescent="0.3">
      <c r="A67" s="4">
        <v>64</v>
      </c>
      <c r="B67" s="6">
        <f t="shared" si="1"/>
        <v>1183491.8782971809</v>
      </c>
      <c r="C67" s="6">
        <f t="shared" si="0"/>
        <v>25879.511512155408</v>
      </c>
      <c r="D67" s="6">
        <f t="shared" si="2"/>
        <v>9369.3107031860163</v>
      </c>
      <c r="E67" s="6">
        <f t="shared" si="3"/>
        <v>16510.200808969392</v>
      </c>
      <c r="F67" s="6">
        <f t="shared" si="4"/>
        <v>1166981.6774882115</v>
      </c>
    </row>
    <row r="68" spans="1:6" x14ac:dyDescent="0.3">
      <c r="A68" s="4">
        <v>65</v>
      </c>
      <c r="B68" s="6">
        <f t="shared" si="1"/>
        <v>1166981.6774882115</v>
      </c>
      <c r="C68" s="6">
        <f t="shared" ref="C68:C123" si="5">$I$3</f>
        <v>25879.511512155408</v>
      </c>
      <c r="D68" s="6">
        <f t="shared" si="2"/>
        <v>9238.6049467816756</v>
      </c>
      <c r="E68" s="6">
        <f t="shared" si="3"/>
        <v>16640.906565373734</v>
      </c>
      <c r="F68" s="6">
        <f t="shared" si="4"/>
        <v>1150340.7709228378</v>
      </c>
    </row>
    <row r="69" spans="1:6" x14ac:dyDescent="0.3">
      <c r="A69" s="4">
        <v>66</v>
      </c>
      <c r="B69" s="6">
        <f t="shared" si="1"/>
        <v>1150340.7709228378</v>
      </c>
      <c r="C69" s="6">
        <f t="shared" si="5"/>
        <v>25879.511512155408</v>
      </c>
      <c r="D69" s="6">
        <f t="shared" si="2"/>
        <v>9106.864436472466</v>
      </c>
      <c r="E69" s="6">
        <f t="shared" si="3"/>
        <v>16772.647075682944</v>
      </c>
      <c r="F69" s="6">
        <f t="shared" si="4"/>
        <v>1133568.1238471549</v>
      </c>
    </row>
    <row r="70" spans="1:6" x14ac:dyDescent="0.3">
      <c r="A70" s="4">
        <v>67</v>
      </c>
      <c r="B70" s="6">
        <f t="shared" ref="B70:B123" si="6">F69</f>
        <v>1133568.1238471549</v>
      </c>
      <c r="C70" s="6">
        <f t="shared" si="5"/>
        <v>25879.511512155408</v>
      </c>
      <c r="D70" s="6">
        <f t="shared" ref="D70:D123" si="7">B70*$I$2</f>
        <v>8974.0809804566434</v>
      </c>
      <c r="E70" s="6">
        <f t="shared" ref="E70:E123" si="8">C70-D70</f>
        <v>16905.430531698767</v>
      </c>
      <c r="F70" s="6">
        <f t="shared" ref="F70:F123" si="9">B70-E70</f>
        <v>1116662.6933154562</v>
      </c>
    </row>
    <row r="71" spans="1:6" x14ac:dyDescent="0.3">
      <c r="A71" s="4">
        <v>68</v>
      </c>
      <c r="B71" s="6">
        <f t="shared" si="6"/>
        <v>1116662.6933154562</v>
      </c>
      <c r="C71" s="6">
        <f t="shared" si="5"/>
        <v>25879.511512155408</v>
      </c>
      <c r="D71" s="6">
        <f t="shared" si="7"/>
        <v>8840.2463220806949</v>
      </c>
      <c r="E71" s="6">
        <f t="shared" si="8"/>
        <v>17039.265190074715</v>
      </c>
      <c r="F71" s="6">
        <f t="shared" si="9"/>
        <v>1099623.4281253815</v>
      </c>
    </row>
    <row r="72" spans="1:6" x14ac:dyDescent="0.3">
      <c r="A72" s="4">
        <v>69</v>
      </c>
      <c r="B72" s="6">
        <f t="shared" si="6"/>
        <v>1099623.4281253815</v>
      </c>
      <c r="C72" s="6">
        <f t="shared" si="5"/>
        <v>25879.511512155408</v>
      </c>
      <c r="D72" s="6">
        <f t="shared" si="7"/>
        <v>8705.352139325938</v>
      </c>
      <c r="E72" s="6">
        <f t="shared" si="8"/>
        <v>17174.159372829468</v>
      </c>
      <c r="F72" s="6">
        <f t="shared" si="9"/>
        <v>1082449.2687525521</v>
      </c>
    </row>
    <row r="73" spans="1:6" x14ac:dyDescent="0.3">
      <c r="A73" s="4">
        <v>70</v>
      </c>
      <c r="B73" s="6">
        <f t="shared" si="6"/>
        <v>1082449.2687525521</v>
      </c>
      <c r="C73" s="6">
        <f t="shared" si="5"/>
        <v>25879.511512155408</v>
      </c>
      <c r="D73" s="6">
        <f t="shared" si="7"/>
        <v>8569.3900442910381</v>
      </c>
      <c r="E73" s="6">
        <f t="shared" si="8"/>
        <v>17310.12146786437</v>
      </c>
      <c r="F73" s="6">
        <f t="shared" si="9"/>
        <v>1065139.1472846877</v>
      </c>
    </row>
    <row r="74" spans="1:6" x14ac:dyDescent="0.3">
      <c r="A74" s="4">
        <v>71</v>
      </c>
      <c r="B74" s="6">
        <f t="shared" si="6"/>
        <v>1065139.1472846877</v>
      </c>
      <c r="C74" s="6">
        <f t="shared" si="5"/>
        <v>25879.511512155408</v>
      </c>
      <c r="D74" s="6">
        <f t="shared" si="7"/>
        <v>8432.3515826704461</v>
      </c>
      <c r="E74" s="6">
        <f t="shared" si="8"/>
        <v>17447.159929484962</v>
      </c>
      <c r="F74" s="6">
        <f t="shared" si="9"/>
        <v>1047691.9873552028</v>
      </c>
    </row>
    <row r="75" spans="1:6" x14ac:dyDescent="0.3">
      <c r="A75" s="4">
        <v>72</v>
      </c>
      <c r="B75" s="6">
        <f t="shared" si="6"/>
        <v>1047691.9873552028</v>
      </c>
      <c r="C75" s="6">
        <f t="shared" si="5"/>
        <v>25879.511512155408</v>
      </c>
      <c r="D75" s="6">
        <f t="shared" si="7"/>
        <v>8294.2282332286886</v>
      </c>
      <c r="E75" s="6">
        <f t="shared" si="8"/>
        <v>17585.28327892672</v>
      </c>
      <c r="F75" s="6">
        <f t="shared" si="9"/>
        <v>1030106.704076276</v>
      </c>
    </row>
    <row r="76" spans="1:6" x14ac:dyDescent="0.3">
      <c r="A76" s="4">
        <v>73</v>
      </c>
      <c r="B76" s="6">
        <f t="shared" si="6"/>
        <v>1030106.704076276</v>
      </c>
      <c r="C76" s="6">
        <f t="shared" si="5"/>
        <v>25879.511512155408</v>
      </c>
      <c r="D76" s="6">
        <f t="shared" si="7"/>
        <v>8155.0114072705192</v>
      </c>
      <c r="E76" s="6">
        <f t="shared" si="8"/>
        <v>17724.50010488489</v>
      </c>
      <c r="F76" s="6">
        <f t="shared" si="9"/>
        <v>1012382.2039713912</v>
      </c>
    </row>
    <row r="77" spans="1:6" x14ac:dyDescent="0.3">
      <c r="A77" s="4">
        <v>74</v>
      </c>
      <c r="B77" s="6">
        <f t="shared" si="6"/>
        <v>1012382.2039713912</v>
      </c>
      <c r="C77" s="6">
        <f t="shared" si="5"/>
        <v>25879.511512155408</v>
      </c>
      <c r="D77" s="6">
        <f t="shared" si="7"/>
        <v>8014.6924481068472</v>
      </c>
      <c r="E77" s="6">
        <f t="shared" si="8"/>
        <v>17864.819064048563</v>
      </c>
      <c r="F77" s="6">
        <f t="shared" si="9"/>
        <v>994517.38490734261</v>
      </c>
    </row>
    <row r="78" spans="1:6" x14ac:dyDescent="0.3">
      <c r="A78" s="4">
        <v>75</v>
      </c>
      <c r="B78" s="6">
        <f t="shared" si="6"/>
        <v>994517.38490734261</v>
      </c>
      <c r="C78" s="6">
        <f t="shared" si="5"/>
        <v>25879.511512155408</v>
      </c>
      <c r="D78" s="6">
        <f t="shared" si="7"/>
        <v>7873.2626305164631</v>
      </c>
      <c r="E78" s="6">
        <f t="shared" si="8"/>
        <v>18006.248881638945</v>
      </c>
      <c r="F78" s="6">
        <f t="shared" si="9"/>
        <v>976511.13602570363</v>
      </c>
    </row>
    <row r="79" spans="1:6" x14ac:dyDescent="0.3">
      <c r="A79" s="4">
        <v>76</v>
      </c>
      <c r="B79" s="6">
        <f t="shared" si="6"/>
        <v>976511.13602570363</v>
      </c>
      <c r="C79" s="6">
        <f t="shared" si="5"/>
        <v>25879.511512155408</v>
      </c>
      <c r="D79" s="6">
        <f t="shared" si="7"/>
        <v>7730.7131602034879</v>
      </c>
      <c r="E79" s="6">
        <f t="shared" si="8"/>
        <v>18148.798351951918</v>
      </c>
      <c r="F79" s="6">
        <f t="shared" si="9"/>
        <v>958362.33767375175</v>
      </c>
    </row>
    <row r="80" spans="1:6" x14ac:dyDescent="0.3">
      <c r="A80" s="4">
        <v>77</v>
      </c>
      <c r="B80" s="6">
        <f t="shared" si="6"/>
        <v>958362.33767375175</v>
      </c>
      <c r="C80" s="6">
        <f t="shared" si="5"/>
        <v>25879.511512155408</v>
      </c>
      <c r="D80" s="6">
        <f t="shared" si="7"/>
        <v>7587.0351732505351</v>
      </c>
      <c r="E80" s="6">
        <f t="shared" si="8"/>
        <v>18292.476338904875</v>
      </c>
      <c r="F80" s="6">
        <f t="shared" si="9"/>
        <v>940069.86133484682</v>
      </c>
    </row>
    <row r="81" spans="1:6" x14ac:dyDescent="0.3">
      <c r="A81" s="4">
        <v>78</v>
      </c>
      <c r="B81" s="6">
        <f t="shared" si="6"/>
        <v>940069.86133484682</v>
      </c>
      <c r="C81" s="6">
        <f t="shared" si="5"/>
        <v>25879.511512155408</v>
      </c>
      <c r="D81" s="6">
        <f t="shared" si="7"/>
        <v>7442.219735567538</v>
      </c>
      <c r="E81" s="6">
        <f t="shared" si="8"/>
        <v>18437.29177658787</v>
      </c>
      <c r="F81" s="6">
        <f t="shared" si="9"/>
        <v>921632.56955825898</v>
      </c>
    </row>
    <row r="82" spans="1:6" x14ac:dyDescent="0.3">
      <c r="A82" s="4">
        <v>79</v>
      </c>
      <c r="B82" s="6">
        <f t="shared" si="6"/>
        <v>921632.56955825898</v>
      </c>
      <c r="C82" s="6">
        <f t="shared" si="5"/>
        <v>25879.511512155408</v>
      </c>
      <c r="D82" s="6">
        <f t="shared" si="7"/>
        <v>7296.2578423362174</v>
      </c>
      <c r="E82" s="6">
        <f t="shared" si="8"/>
        <v>18583.253669819191</v>
      </c>
      <c r="F82" s="6">
        <f t="shared" si="9"/>
        <v>903049.31588843977</v>
      </c>
    </row>
    <row r="83" spans="1:6" x14ac:dyDescent="0.3">
      <c r="A83" s="4">
        <v>80</v>
      </c>
      <c r="B83" s="6">
        <f t="shared" si="6"/>
        <v>903049.31588843977</v>
      </c>
      <c r="C83" s="6">
        <f t="shared" si="5"/>
        <v>25879.511512155408</v>
      </c>
      <c r="D83" s="6">
        <f t="shared" si="7"/>
        <v>7149.1404174501486</v>
      </c>
      <c r="E83" s="6">
        <f t="shared" si="8"/>
        <v>18730.37109470526</v>
      </c>
      <c r="F83" s="6">
        <f t="shared" si="9"/>
        <v>884318.94479373447</v>
      </c>
    </row>
    <row r="84" spans="1:6" x14ac:dyDescent="0.3">
      <c r="A84" s="4">
        <v>81</v>
      </c>
      <c r="B84" s="6">
        <f t="shared" si="6"/>
        <v>884318.94479373447</v>
      </c>
      <c r="C84" s="6">
        <f t="shared" si="5"/>
        <v>25879.511512155408</v>
      </c>
      <c r="D84" s="6">
        <f t="shared" si="7"/>
        <v>7000.8583129503986</v>
      </c>
      <c r="E84" s="6">
        <f t="shared" si="8"/>
        <v>18878.653199205008</v>
      </c>
      <c r="F84" s="6">
        <f t="shared" si="9"/>
        <v>865440.29159452941</v>
      </c>
    </row>
    <row r="85" spans="1:6" x14ac:dyDescent="0.3">
      <c r="A85" s="4">
        <v>82</v>
      </c>
      <c r="B85" s="6">
        <f t="shared" si="6"/>
        <v>865440.29159452941</v>
      </c>
      <c r="C85" s="6">
        <f t="shared" si="5"/>
        <v>25879.511512155408</v>
      </c>
      <c r="D85" s="6">
        <f t="shared" si="7"/>
        <v>6851.4023084566916</v>
      </c>
      <c r="E85" s="6">
        <f t="shared" si="8"/>
        <v>19028.109203698717</v>
      </c>
      <c r="F85" s="6">
        <f t="shared" si="9"/>
        <v>846412.18239083071</v>
      </c>
    </row>
    <row r="86" spans="1:6" x14ac:dyDescent="0.3">
      <c r="A86" s="4">
        <v>83</v>
      </c>
      <c r="B86" s="6">
        <f t="shared" si="6"/>
        <v>846412.18239083071</v>
      </c>
      <c r="C86" s="6">
        <f t="shared" si="5"/>
        <v>25879.511512155408</v>
      </c>
      <c r="D86" s="6">
        <f t="shared" si="7"/>
        <v>6700.7631105940773</v>
      </c>
      <c r="E86" s="6">
        <f t="shared" si="8"/>
        <v>19178.74840156133</v>
      </c>
      <c r="F86" s="6">
        <f t="shared" si="9"/>
        <v>827233.43398926943</v>
      </c>
    </row>
    <row r="87" spans="1:6" x14ac:dyDescent="0.3">
      <c r="A87" s="4">
        <v>84</v>
      </c>
      <c r="B87" s="6">
        <f t="shared" si="6"/>
        <v>827233.43398926943</v>
      </c>
      <c r="C87" s="6">
        <f t="shared" si="5"/>
        <v>25879.511512155408</v>
      </c>
      <c r="D87" s="6">
        <f t="shared" si="7"/>
        <v>6548.9313524150502</v>
      </c>
      <c r="E87" s="6">
        <f t="shared" si="8"/>
        <v>19330.580159740359</v>
      </c>
      <c r="F87" s="6">
        <f t="shared" si="9"/>
        <v>807902.85382952902</v>
      </c>
    </row>
    <row r="88" spans="1:6" x14ac:dyDescent="0.3">
      <c r="A88" s="4">
        <v>85</v>
      </c>
      <c r="B88" s="6">
        <f t="shared" si="6"/>
        <v>807902.85382952902</v>
      </c>
      <c r="C88" s="6">
        <f t="shared" si="5"/>
        <v>25879.511512155408</v>
      </c>
      <c r="D88" s="6">
        <f t="shared" si="7"/>
        <v>6395.8975928171049</v>
      </c>
      <c r="E88" s="6">
        <f t="shared" si="8"/>
        <v>19483.613919338302</v>
      </c>
      <c r="F88" s="6">
        <f t="shared" si="9"/>
        <v>788419.23991019069</v>
      </c>
    </row>
    <row r="89" spans="1:6" x14ac:dyDescent="0.3">
      <c r="A89" s="4">
        <v>86</v>
      </c>
      <c r="B89" s="6">
        <f t="shared" si="6"/>
        <v>788419.23991019069</v>
      </c>
      <c r="C89" s="6">
        <f t="shared" si="5"/>
        <v>25879.511512155408</v>
      </c>
      <c r="D89" s="6">
        <f t="shared" si="7"/>
        <v>6241.6523159556773</v>
      </c>
      <c r="E89" s="6">
        <f t="shared" si="8"/>
        <v>19637.85919619973</v>
      </c>
      <c r="F89" s="6">
        <f t="shared" si="9"/>
        <v>768781.38071399101</v>
      </c>
    </row>
    <row r="90" spans="1:6" x14ac:dyDescent="0.3">
      <c r="A90" s="4">
        <v>87</v>
      </c>
      <c r="B90" s="6">
        <f t="shared" si="6"/>
        <v>768781.38071399101</v>
      </c>
      <c r="C90" s="6">
        <f t="shared" si="5"/>
        <v>25879.511512155408</v>
      </c>
      <c r="D90" s="6">
        <f t="shared" si="7"/>
        <v>6086.1859306524293</v>
      </c>
      <c r="E90" s="6">
        <f t="shared" si="8"/>
        <v>19793.325581502977</v>
      </c>
      <c r="F90" s="6">
        <f t="shared" si="9"/>
        <v>748988.05513248802</v>
      </c>
    </row>
    <row r="91" spans="1:6" x14ac:dyDescent="0.3">
      <c r="A91" s="4">
        <v>88</v>
      </c>
      <c r="B91" s="6">
        <f t="shared" si="6"/>
        <v>748988.05513248802</v>
      </c>
      <c r="C91" s="6">
        <f t="shared" si="5"/>
        <v>25879.511512155408</v>
      </c>
      <c r="D91" s="6">
        <f t="shared" si="7"/>
        <v>5929.4887697988643</v>
      </c>
      <c r="E91" s="6">
        <f t="shared" si="8"/>
        <v>19950.022742356545</v>
      </c>
      <c r="F91" s="6">
        <f t="shared" si="9"/>
        <v>729038.0323901315</v>
      </c>
    </row>
    <row r="92" spans="1:6" x14ac:dyDescent="0.3">
      <c r="A92" s="4">
        <v>89</v>
      </c>
      <c r="B92" s="6">
        <f t="shared" si="6"/>
        <v>729038.0323901315</v>
      </c>
      <c r="C92" s="6">
        <f t="shared" si="5"/>
        <v>25879.511512155408</v>
      </c>
      <c r="D92" s="6">
        <f t="shared" si="7"/>
        <v>5771.5510897552085</v>
      </c>
      <c r="E92" s="6">
        <f t="shared" si="8"/>
        <v>20107.9604224002</v>
      </c>
      <c r="F92" s="6">
        <f t="shared" si="9"/>
        <v>708930.07196773135</v>
      </c>
    </row>
    <row r="93" spans="1:6" x14ac:dyDescent="0.3">
      <c r="A93" s="4">
        <v>90</v>
      </c>
      <c r="B93" s="6">
        <f t="shared" si="6"/>
        <v>708930.07196773135</v>
      </c>
      <c r="C93" s="6">
        <f t="shared" si="5"/>
        <v>25879.511512155408</v>
      </c>
      <c r="D93" s="6">
        <f t="shared" si="7"/>
        <v>5612.3630697445406</v>
      </c>
      <c r="E93" s="6">
        <f t="shared" si="8"/>
        <v>20267.148442410868</v>
      </c>
      <c r="F93" s="6">
        <f t="shared" si="9"/>
        <v>688662.92352532048</v>
      </c>
    </row>
    <row r="94" spans="1:6" x14ac:dyDescent="0.3">
      <c r="A94" s="4">
        <v>91</v>
      </c>
      <c r="B94" s="6">
        <f t="shared" si="6"/>
        <v>688662.92352532048</v>
      </c>
      <c r="C94" s="6">
        <f t="shared" si="5"/>
        <v>25879.511512155408</v>
      </c>
      <c r="D94" s="6">
        <f t="shared" si="7"/>
        <v>5451.9148112421208</v>
      </c>
      <c r="E94" s="6">
        <f t="shared" si="8"/>
        <v>20427.596700913287</v>
      </c>
      <c r="F94" s="6">
        <f t="shared" si="9"/>
        <v>668235.32682440721</v>
      </c>
    </row>
    <row r="95" spans="1:6" x14ac:dyDescent="0.3">
      <c r="A95" s="4">
        <v>92</v>
      </c>
      <c r="B95" s="6">
        <f t="shared" si="6"/>
        <v>668235.32682440721</v>
      </c>
      <c r="C95" s="6">
        <f t="shared" si="5"/>
        <v>25879.511512155408</v>
      </c>
      <c r="D95" s="6">
        <f t="shared" si="7"/>
        <v>5290.196337359891</v>
      </c>
      <c r="E95" s="6">
        <f t="shared" si="8"/>
        <v>20589.315174795516</v>
      </c>
      <c r="F95" s="6">
        <f t="shared" si="9"/>
        <v>647646.01164961164</v>
      </c>
    </row>
    <row r="96" spans="1:6" x14ac:dyDescent="0.3">
      <c r="A96" s="4">
        <v>93</v>
      </c>
      <c r="B96" s="6">
        <f t="shared" si="6"/>
        <v>647646.01164961164</v>
      </c>
      <c r="C96" s="6">
        <f t="shared" si="5"/>
        <v>25879.511512155408</v>
      </c>
      <c r="D96" s="6">
        <f t="shared" si="7"/>
        <v>5127.1975922260926</v>
      </c>
      <c r="E96" s="6">
        <f t="shared" si="8"/>
        <v>20752.313919929315</v>
      </c>
      <c r="F96" s="6">
        <f t="shared" si="9"/>
        <v>626893.69772968232</v>
      </c>
    </row>
    <row r="97" spans="1:6" x14ac:dyDescent="0.3">
      <c r="A97" s="4">
        <v>94</v>
      </c>
      <c r="B97" s="6">
        <f t="shared" si="6"/>
        <v>626893.69772968232</v>
      </c>
      <c r="C97" s="6">
        <f t="shared" si="5"/>
        <v>25879.511512155408</v>
      </c>
      <c r="D97" s="6">
        <f t="shared" si="7"/>
        <v>4962.9084403599854</v>
      </c>
      <c r="E97" s="6">
        <f t="shared" si="8"/>
        <v>20916.603071795424</v>
      </c>
      <c r="F97" s="6">
        <f t="shared" si="9"/>
        <v>605977.09465788689</v>
      </c>
    </row>
    <row r="98" spans="1:6" x14ac:dyDescent="0.3">
      <c r="A98" s="4">
        <v>95</v>
      </c>
      <c r="B98" s="6">
        <f t="shared" si="6"/>
        <v>605977.09465788689</v>
      </c>
      <c r="C98" s="6">
        <f t="shared" si="5"/>
        <v>25879.511512155408</v>
      </c>
      <c r="D98" s="6">
        <f t="shared" si="7"/>
        <v>4797.318666041605</v>
      </c>
      <c r="E98" s="6">
        <f t="shared" si="8"/>
        <v>21082.192846113801</v>
      </c>
      <c r="F98" s="6">
        <f t="shared" si="9"/>
        <v>584894.90181177307</v>
      </c>
    </row>
    <row r="99" spans="1:6" x14ac:dyDescent="0.3">
      <c r="A99" s="4">
        <v>96</v>
      </c>
      <c r="B99" s="6">
        <f t="shared" si="6"/>
        <v>584894.90181177307</v>
      </c>
      <c r="C99" s="6">
        <f t="shared" si="5"/>
        <v>25879.511512155408</v>
      </c>
      <c r="D99" s="6">
        <f t="shared" si="7"/>
        <v>4630.4179726765369</v>
      </c>
      <c r="E99" s="6">
        <f t="shared" si="8"/>
        <v>21249.093539478872</v>
      </c>
      <c r="F99" s="6">
        <f t="shared" si="9"/>
        <v>563645.80827229423</v>
      </c>
    </row>
    <row r="100" spans="1:6" x14ac:dyDescent="0.3">
      <c r="A100" s="4">
        <v>97</v>
      </c>
      <c r="B100" s="6">
        <f t="shared" si="6"/>
        <v>563645.80827229423</v>
      </c>
      <c r="C100" s="6">
        <f t="shared" si="5"/>
        <v>25879.511512155408</v>
      </c>
      <c r="D100" s="6">
        <f t="shared" si="7"/>
        <v>4462.1959821556629</v>
      </c>
      <c r="E100" s="6">
        <f t="shared" si="8"/>
        <v>21417.315529999745</v>
      </c>
      <c r="F100" s="6">
        <f t="shared" si="9"/>
        <v>542228.49274229445</v>
      </c>
    </row>
    <row r="101" spans="1:6" x14ac:dyDescent="0.3">
      <c r="A101" s="4">
        <v>98</v>
      </c>
      <c r="B101" s="6">
        <f t="shared" si="6"/>
        <v>542228.49274229445</v>
      </c>
      <c r="C101" s="6">
        <f t="shared" si="5"/>
        <v>25879.511512155408</v>
      </c>
      <c r="D101" s="6">
        <f t="shared" si="7"/>
        <v>4292.6422342098313</v>
      </c>
      <c r="E101" s="6">
        <f t="shared" si="8"/>
        <v>21586.869277945578</v>
      </c>
      <c r="F101" s="6">
        <f t="shared" si="9"/>
        <v>520641.62346434884</v>
      </c>
    </row>
    <row r="102" spans="1:6" x14ac:dyDescent="0.3">
      <c r="A102" s="4">
        <v>99</v>
      </c>
      <c r="B102" s="6">
        <f t="shared" si="6"/>
        <v>520641.62346434884</v>
      </c>
      <c r="C102" s="6">
        <f t="shared" si="5"/>
        <v>25879.511512155408</v>
      </c>
      <c r="D102" s="6">
        <f t="shared" si="7"/>
        <v>4121.746185759429</v>
      </c>
      <c r="E102" s="6">
        <f t="shared" si="8"/>
        <v>21757.76532639598</v>
      </c>
      <c r="F102" s="6">
        <f t="shared" si="9"/>
        <v>498883.85813795286</v>
      </c>
    </row>
    <row r="103" spans="1:6" x14ac:dyDescent="0.3">
      <c r="A103" s="4">
        <v>100</v>
      </c>
      <c r="B103" s="6">
        <f t="shared" si="6"/>
        <v>498883.85813795286</v>
      </c>
      <c r="C103" s="6">
        <f t="shared" si="5"/>
        <v>25879.511512155408</v>
      </c>
      <c r="D103" s="6">
        <f t="shared" si="7"/>
        <v>3949.497210258794</v>
      </c>
      <c r="E103" s="6">
        <f t="shared" si="8"/>
        <v>21930.014301896616</v>
      </c>
      <c r="F103" s="6">
        <f t="shared" si="9"/>
        <v>476953.84383605624</v>
      </c>
    </row>
    <row r="104" spans="1:6" x14ac:dyDescent="0.3">
      <c r="A104" s="4">
        <v>101</v>
      </c>
      <c r="B104" s="6">
        <f t="shared" si="6"/>
        <v>476953.84383605624</v>
      </c>
      <c r="C104" s="6">
        <f t="shared" si="5"/>
        <v>25879.511512155408</v>
      </c>
      <c r="D104" s="6">
        <f t="shared" si="7"/>
        <v>3775.8845970354455</v>
      </c>
      <c r="E104" s="6">
        <f t="shared" si="8"/>
        <v>22103.626915119963</v>
      </c>
      <c r="F104" s="6">
        <f t="shared" si="9"/>
        <v>454850.21692093631</v>
      </c>
    </row>
    <row r="105" spans="1:6" x14ac:dyDescent="0.3">
      <c r="A105" s="4">
        <v>102</v>
      </c>
      <c r="B105" s="6">
        <f t="shared" si="6"/>
        <v>454850.21692093631</v>
      </c>
      <c r="C105" s="6">
        <f t="shared" si="5"/>
        <v>25879.511512155408</v>
      </c>
      <c r="D105" s="6">
        <f t="shared" si="7"/>
        <v>3600.8975506240795</v>
      </c>
      <c r="E105" s="6">
        <f t="shared" si="8"/>
        <v>22278.61396153133</v>
      </c>
      <c r="F105" s="6">
        <f t="shared" si="9"/>
        <v>432571.60295940499</v>
      </c>
    </row>
    <row r="106" spans="1:6" x14ac:dyDescent="0.3">
      <c r="A106" s="4">
        <v>103</v>
      </c>
      <c r="B106" s="6">
        <f t="shared" si="6"/>
        <v>432571.60295940499</v>
      </c>
      <c r="C106" s="6">
        <f t="shared" si="5"/>
        <v>25879.511512155408</v>
      </c>
      <c r="D106" s="6">
        <f t="shared" si="7"/>
        <v>3424.5251900952899</v>
      </c>
      <c r="E106" s="6">
        <f t="shared" si="8"/>
        <v>22454.986322060118</v>
      </c>
      <c r="F106" s="6">
        <f t="shared" si="9"/>
        <v>410116.61663734488</v>
      </c>
    </row>
    <row r="107" spans="1:6" x14ac:dyDescent="0.3">
      <c r="A107" s="4">
        <v>104</v>
      </c>
      <c r="B107" s="6">
        <f t="shared" si="6"/>
        <v>410116.61663734488</v>
      </c>
      <c r="C107" s="6">
        <f t="shared" si="5"/>
        <v>25879.511512155408</v>
      </c>
      <c r="D107" s="6">
        <f t="shared" si="7"/>
        <v>3246.7565483789804</v>
      </c>
      <c r="E107" s="6">
        <f t="shared" si="8"/>
        <v>22632.754963776428</v>
      </c>
      <c r="F107" s="6">
        <f t="shared" si="9"/>
        <v>387483.86167356843</v>
      </c>
    </row>
    <row r="108" spans="1:6" x14ac:dyDescent="0.3">
      <c r="A108" s="4">
        <v>105</v>
      </c>
      <c r="B108" s="6">
        <f t="shared" si="6"/>
        <v>387483.86167356843</v>
      </c>
      <c r="C108" s="6">
        <f t="shared" si="5"/>
        <v>25879.511512155408</v>
      </c>
      <c r="D108" s="6">
        <f t="shared" si="7"/>
        <v>3067.5805715824172</v>
      </c>
      <c r="E108" s="6">
        <f t="shared" si="8"/>
        <v>22811.930940572991</v>
      </c>
      <c r="F108" s="6">
        <f t="shared" si="9"/>
        <v>364671.93073299545</v>
      </c>
    </row>
    <row r="109" spans="1:6" x14ac:dyDescent="0.3">
      <c r="A109" s="4">
        <v>106</v>
      </c>
      <c r="B109" s="6">
        <f t="shared" si="6"/>
        <v>364671.93073299545</v>
      </c>
      <c r="C109" s="6">
        <f t="shared" si="5"/>
        <v>25879.511512155408</v>
      </c>
      <c r="D109" s="6">
        <f t="shared" si="7"/>
        <v>2886.9861183028806</v>
      </c>
      <c r="E109" s="6">
        <f t="shared" si="8"/>
        <v>22992.525393852527</v>
      </c>
      <c r="F109" s="6">
        <f t="shared" si="9"/>
        <v>341679.40533914289</v>
      </c>
    </row>
    <row r="110" spans="1:6" x14ac:dyDescent="0.3">
      <c r="A110" s="4">
        <v>107</v>
      </c>
      <c r="B110" s="6">
        <f t="shared" si="6"/>
        <v>341679.40533914289</v>
      </c>
      <c r="C110" s="6">
        <f t="shared" si="5"/>
        <v>25879.511512155408</v>
      </c>
      <c r="D110" s="6">
        <f t="shared" si="7"/>
        <v>2704.9619589348813</v>
      </c>
      <c r="E110" s="6">
        <f t="shared" si="8"/>
        <v>23174.549553220528</v>
      </c>
      <c r="F110" s="6">
        <f t="shared" si="9"/>
        <v>318504.85578592238</v>
      </c>
    </row>
    <row r="111" spans="1:6" x14ac:dyDescent="0.3">
      <c r="A111" s="4">
        <v>108</v>
      </c>
      <c r="B111" s="6">
        <f t="shared" si="6"/>
        <v>318504.85578592238</v>
      </c>
      <c r="C111" s="6">
        <f t="shared" si="5"/>
        <v>25879.511512155408</v>
      </c>
      <c r="D111" s="6">
        <f t="shared" si="7"/>
        <v>2521.4967749718858</v>
      </c>
      <c r="E111" s="6">
        <f t="shared" si="8"/>
        <v>23358.014737183523</v>
      </c>
      <c r="F111" s="6">
        <f t="shared" si="9"/>
        <v>295146.84104873886</v>
      </c>
    </row>
    <row r="112" spans="1:6" x14ac:dyDescent="0.3">
      <c r="A112" s="4">
        <v>109</v>
      </c>
      <c r="B112" s="6">
        <f t="shared" si="6"/>
        <v>295146.84104873886</v>
      </c>
      <c r="C112" s="6">
        <f t="shared" si="5"/>
        <v>25879.511512155408</v>
      </c>
      <c r="D112" s="6">
        <f t="shared" si="7"/>
        <v>2336.5791583025161</v>
      </c>
      <c r="E112" s="6">
        <f t="shared" si="8"/>
        <v>23542.932353852892</v>
      </c>
      <c r="F112" s="6">
        <f t="shared" si="9"/>
        <v>271603.90869488596</v>
      </c>
    </row>
    <row r="113" spans="1:6" x14ac:dyDescent="0.3">
      <c r="A113" s="4">
        <v>110</v>
      </c>
      <c r="B113" s="6">
        <f t="shared" si="6"/>
        <v>271603.90869488596</v>
      </c>
      <c r="C113" s="6">
        <f t="shared" si="5"/>
        <v>25879.511512155408</v>
      </c>
      <c r="D113" s="6">
        <f t="shared" si="7"/>
        <v>2150.1976105011809</v>
      </c>
      <c r="E113" s="6">
        <f t="shared" si="8"/>
        <v>23729.313901654226</v>
      </c>
      <c r="F113" s="6">
        <f t="shared" si="9"/>
        <v>247874.59479323175</v>
      </c>
    </row>
    <row r="114" spans="1:6" x14ac:dyDescent="0.3">
      <c r="A114" s="4">
        <v>111</v>
      </c>
      <c r="B114" s="6">
        <f t="shared" si="6"/>
        <v>247874.59479323175</v>
      </c>
      <c r="C114" s="6">
        <f t="shared" si="5"/>
        <v>25879.511512155408</v>
      </c>
      <c r="D114" s="6">
        <f t="shared" si="7"/>
        <v>1962.3405421130849</v>
      </c>
      <c r="E114" s="6">
        <f t="shared" si="8"/>
        <v>23917.170970042323</v>
      </c>
      <c r="F114" s="6">
        <f t="shared" si="9"/>
        <v>223957.42382318943</v>
      </c>
    </row>
    <row r="115" spans="1:6" x14ac:dyDescent="0.3">
      <c r="A115" s="4">
        <v>112</v>
      </c>
      <c r="B115" s="6">
        <f t="shared" si="6"/>
        <v>223957.42382318943</v>
      </c>
      <c r="C115" s="6">
        <f t="shared" si="5"/>
        <v>25879.511512155408</v>
      </c>
      <c r="D115" s="6">
        <f t="shared" si="7"/>
        <v>1772.9962719335831</v>
      </c>
      <c r="E115" s="6">
        <f t="shared" si="8"/>
        <v>24106.515240221826</v>
      </c>
      <c r="F115" s="6">
        <f t="shared" si="9"/>
        <v>199850.90858296759</v>
      </c>
    </row>
    <row r="116" spans="1:6" x14ac:dyDescent="0.3">
      <c r="A116" s="4">
        <v>113</v>
      </c>
      <c r="B116" s="6">
        <f t="shared" si="6"/>
        <v>199850.90858296759</v>
      </c>
      <c r="C116" s="6">
        <f t="shared" si="5"/>
        <v>25879.511512155408</v>
      </c>
      <c r="D116" s="6">
        <f t="shared" si="7"/>
        <v>1582.1530262818269</v>
      </c>
      <c r="E116" s="6">
        <f t="shared" si="8"/>
        <v>24297.358485873581</v>
      </c>
      <c r="F116" s="6">
        <f t="shared" si="9"/>
        <v>175553.550097094</v>
      </c>
    </row>
    <row r="117" spans="1:6" x14ac:dyDescent="0.3">
      <c r="A117" s="4">
        <v>114</v>
      </c>
      <c r="B117" s="6">
        <f t="shared" si="6"/>
        <v>175553.550097094</v>
      </c>
      <c r="C117" s="6">
        <f t="shared" si="5"/>
        <v>25879.511512155408</v>
      </c>
      <c r="D117" s="6">
        <f t="shared" si="7"/>
        <v>1389.798938268661</v>
      </c>
      <c r="E117" s="6">
        <f t="shared" si="8"/>
        <v>24489.712573886747</v>
      </c>
      <c r="F117" s="6">
        <f t="shared" si="9"/>
        <v>151063.83752320724</v>
      </c>
    </row>
    <row r="118" spans="1:6" x14ac:dyDescent="0.3">
      <c r="A118" s="4">
        <v>115</v>
      </c>
      <c r="B118" s="6">
        <f t="shared" si="6"/>
        <v>151063.83752320724</v>
      </c>
      <c r="C118" s="6">
        <f t="shared" si="5"/>
        <v>25879.511512155408</v>
      </c>
      <c r="D118" s="6">
        <f t="shared" si="7"/>
        <v>1195.922047058724</v>
      </c>
      <c r="E118" s="6">
        <f t="shared" si="8"/>
        <v>24683.589465096684</v>
      </c>
      <c r="F118" s="6">
        <f t="shared" si="9"/>
        <v>126380.24805811056</v>
      </c>
    </row>
    <row r="119" spans="1:6" x14ac:dyDescent="0.3">
      <c r="A119" s="4">
        <v>116</v>
      </c>
      <c r="B119" s="6">
        <f t="shared" si="6"/>
        <v>126380.24805811056</v>
      </c>
      <c r="C119" s="6">
        <f t="shared" si="5"/>
        <v>25879.511512155408</v>
      </c>
      <c r="D119" s="6">
        <f t="shared" si="7"/>
        <v>1000.5102971267087</v>
      </c>
      <c r="E119" s="6">
        <f t="shared" si="8"/>
        <v>24879.0012150287</v>
      </c>
      <c r="F119" s="6">
        <f t="shared" si="9"/>
        <v>101501.24684308187</v>
      </c>
    </row>
    <row r="120" spans="1:6" x14ac:dyDescent="0.3">
      <c r="A120" s="4">
        <v>117</v>
      </c>
      <c r="B120" s="6">
        <f t="shared" si="6"/>
        <v>101501.24684308187</v>
      </c>
      <c r="C120" s="6">
        <f t="shared" si="5"/>
        <v>25879.511512155408</v>
      </c>
      <c r="D120" s="6">
        <f t="shared" si="7"/>
        <v>803.5515375077315</v>
      </c>
      <c r="E120" s="6">
        <f t="shared" si="8"/>
        <v>25075.959974647678</v>
      </c>
      <c r="F120" s="6">
        <f t="shared" si="9"/>
        <v>76425.286868434196</v>
      </c>
    </row>
    <row r="121" spans="1:6" x14ac:dyDescent="0.3">
      <c r="A121" s="4">
        <v>118</v>
      </c>
      <c r="B121" s="6">
        <f t="shared" si="6"/>
        <v>76425.286868434196</v>
      </c>
      <c r="C121" s="6">
        <f t="shared" si="5"/>
        <v>25879.511512155408</v>
      </c>
      <c r="D121" s="6">
        <f t="shared" si="7"/>
        <v>605.03352104177077</v>
      </c>
      <c r="E121" s="6">
        <f t="shared" si="8"/>
        <v>25274.477991113636</v>
      </c>
      <c r="F121" s="6">
        <f t="shared" si="9"/>
        <v>51150.80887732056</v>
      </c>
    </row>
    <row r="122" spans="1:6" x14ac:dyDescent="0.3">
      <c r="A122" s="4">
        <v>119</v>
      </c>
      <c r="B122" s="6">
        <f t="shared" si="6"/>
        <v>51150.80887732056</v>
      </c>
      <c r="C122" s="6">
        <f t="shared" si="5"/>
        <v>25879.511512155408</v>
      </c>
      <c r="D122" s="6">
        <f t="shared" si="7"/>
        <v>404.94390361212112</v>
      </c>
      <c r="E122" s="6">
        <f t="shared" si="8"/>
        <v>25474.567608543286</v>
      </c>
      <c r="F122" s="6">
        <f t="shared" si="9"/>
        <v>25676.241268777274</v>
      </c>
    </row>
    <row r="123" spans="1:6" x14ac:dyDescent="0.3">
      <c r="A123" s="4">
        <v>120</v>
      </c>
      <c r="B123" s="6">
        <f t="shared" si="6"/>
        <v>25676.241268777274</v>
      </c>
      <c r="C123" s="6">
        <f t="shared" si="5"/>
        <v>25879.511512155408</v>
      </c>
      <c r="D123" s="6">
        <f t="shared" si="7"/>
        <v>203.27024337782009</v>
      </c>
      <c r="E123" s="6">
        <f t="shared" si="8"/>
        <v>25676.241268777587</v>
      </c>
      <c r="F123" s="6">
        <f t="shared" si="9"/>
        <v>-3.1286617740988731E-10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4D77-3745-4D5A-997F-6D67F1DE5010}">
  <dimension ref="A1:M52"/>
  <sheetViews>
    <sheetView topLeftCell="A24" zoomScale="95" workbookViewId="0">
      <selection activeCell="G29" sqref="G29"/>
    </sheetView>
  </sheetViews>
  <sheetFormatPr defaultRowHeight="14.4" x14ac:dyDescent="0.3"/>
  <cols>
    <col min="1" max="1" width="38.5546875" bestFit="1" customWidth="1"/>
    <col min="2" max="2" width="14" style="16" customWidth="1"/>
    <col min="3" max="3" width="20.6640625" style="16" customWidth="1"/>
    <col min="4" max="4" width="16.88671875" style="16" customWidth="1"/>
    <col min="5" max="5" width="21.33203125" bestFit="1" customWidth="1"/>
    <col min="6" max="6" width="16.77734375" style="5" bestFit="1" customWidth="1"/>
    <col min="7" max="7" width="30.21875" style="16" bestFit="1" customWidth="1"/>
    <col min="8" max="8" width="11.5546875" style="4" customWidth="1"/>
    <col min="9" max="9" width="11.88671875" style="5" customWidth="1"/>
    <col min="10" max="10" width="11.88671875" customWidth="1"/>
    <col min="11" max="11" width="13" customWidth="1"/>
    <col min="12" max="12" width="11.21875" customWidth="1"/>
    <col min="13" max="13" width="49.33203125" bestFit="1" customWidth="1"/>
  </cols>
  <sheetData>
    <row r="1" spans="1:13" ht="18" x14ac:dyDescent="0.35">
      <c r="A1" s="32" t="s">
        <v>266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4" spans="1:13" ht="43.2" x14ac:dyDescent="0.3">
      <c r="A4" s="3" t="s">
        <v>237</v>
      </c>
      <c r="B4" s="3" t="s">
        <v>235</v>
      </c>
      <c r="C4" s="3" t="s">
        <v>265</v>
      </c>
      <c r="D4" s="3" t="s">
        <v>264</v>
      </c>
      <c r="E4" s="3" t="s">
        <v>263</v>
      </c>
      <c r="F4" s="3" t="s">
        <v>262</v>
      </c>
      <c r="G4" s="3" t="s">
        <v>261</v>
      </c>
      <c r="H4" s="17" t="s">
        <v>260</v>
      </c>
      <c r="I4" s="17" t="s">
        <v>259</v>
      </c>
      <c r="J4" s="17" t="s">
        <v>258</v>
      </c>
      <c r="K4" s="17" t="s">
        <v>257</v>
      </c>
      <c r="L4" s="17" t="s">
        <v>256</v>
      </c>
      <c r="M4" s="17" t="s">
        <v>3</v>
      </c>
    </row>
    <row r="5" spans="1:13" x14ac:dyDescent="0.3">
      <c r="A5" t="s">
        <v>255</v>
      </c>
      <c r="G5" s="16">
        <v>12</v>
      </c>
      <c r="J5" t="s">
        <v>253</v>
      </c>
      <c r="M5" t="s">
        <v>254</v>
      </c>
    </row>
    <row r="6" spans="1:13" x14ac:dyDescent="0.3">
      <c r="A6" t="s">
        <v>230</v>
      </c>
      <c r="B6" s="16">
        <v>35</v>
      </c>
      <c r="D6" s="16">
        <v>0</v>
      </c>
      <c r="E6" s="4">
        <v>2</v>
      </c>
      <c r="F6" s="5">
        <v>0.3</v>
      </c>
      <c r="G6" s="16">
        <v>6</v>
      </c>
      <c r="H6" s="4">
        <v>0</v>
      </c>
      <c r="I6" s="5">
        <v>0.1</v>
      </c>
      <c r="J6" t="s">
        <v>253</v>
      </c>
      <c r="K6" s="4">
        <v>12</v>
      </c>
      <c r="L6" s="4">
        <v>1</v>
      </c>
      <c r="M6" t="s">
        <v>252</v>
      </c>
    </row>
    <row r="7" spans="1:13" x14ac:dyDescent="0.3">
      <c r="A7" t="s">
        <v>229</v>
      </c>
      <c r="B7" s="16">
        <v>60</v>
      </c>
      <c r="C7" s="16">
        <v>689</v>
      </c>
      <c r="D7" s="16">
        <v>0</v>
      </c>
      <c r="E7" s="4">
        <v>7</v>
      </c>
      <c r="F7" s="5">
        <v>0.25</v>
      </c>
      <c r="G7" s="16">
        <v>8</v>
      </c>
      <c r="H7" s="4">
        <v>1</v>
      </c>
      <c r="I7" s="5">
        <v>0.1</v>
      </c>
      <c r="J7" t="s">
        <v>247</v>
      </c>
      <c r="K7" s="4">
        <v>12</v>
      </c>
      <c r="L7" s="4">
        <v>1</v>
      </c>
      <c r="M7" t="s">
        <v>251</v>
      </c>
    </row>
    <row r="8" spans="1:13" x14ac:dyDescent="0.3">
      <c r="A8" t="s">
        <v>228</v>
      </c>
      <c r="B8" s="16">
        <v>100</v>
      </c>
      <c r="C8" s="16">
        <v>999</v>
      </c>
      <c r="D8" s="16">
        <v>0</v>
      </c>
      <c r="E8" s="4">
        <v>10</v>
      </c>
      <c r="F8" s="5">
        <v>0.35</v>
      </c>
      <c r="G8" s="16">
        <v>6</v>
      </c>
      <c r="H8" s="4">
        <v>2</v>
      </c>
      <c r="I8" s="5">
        <v>0.15</v>
      </c>
      <c r="J8" t="s">
        <v>247</v>
      </c>
      <c r="K8" s="4">
        <v>6</v>
      </c>
      <c r="L8" s="4">
        <v>2</v>
      </c>
      <c r="M8" t="s">
        <v>250</v>
      </c>
    </row>
    <row r="9" spans="1:13" x14ac:dyDescent="0.3">
      <c r="A9" t="s">
        <v>473</v>
      </c>
      <c r="B9" s="16">
        <v>140</v>
      </c>
      <c r="C9" s="16">
        <v>1399</v>
      </c>
      <c r="D9" s="16">
        <v>0</v>
      </c>
      <c r="E9" s="4">
        <v>14</v>
      </c>
      <c r="F9" s="5">
        <v>0.4</v>
      </c>
      <c r="G9" s="16">
        <v>5</v>
      </c>
      <c r="H9" s="4">
        <v>4</v>
      </c>
      <c r="I9" s="5">
        <v>0.2</v>
      </c>
      <c r="J9" t="s">
        <v>247</v>
      </c>
      <c r="K9" s="4">
        <v>24</v>
      </c>
      <c r="L9" s="4">
        <v>3</v>
      </c>
      <c r="M9" t="s">
        <v>474</v>
      </c>
    </row>
    <row r="10" spans="1:13" x14ac:dyDescent="0.3">
      <c r="A10" t="s">
        <v>227</v>
      </c>
      <c r="B10" s="16">
        <v>179</v>
      </c>
      <c r="C10" s="16">
        <v>1900</v>
      </c>
      <c r="D10" s="16">
        <v>0</v>
      </c>
      <c r="E10" s="4">
        <v>10</v>
      </c>
      <c r="F10" s="5">
        <v>0.3</v>
      </c>
      <c r="G10" s="16">
        <v>6</v>
      </c>
      <c r="H10" s="4">
        <v>2</v>
      </c>
      <c r="I10" s="5">
        <v>0.15</v>
      </c>
      <c r="J10" t="s">
        <v>247</v>
      </c>
      <c r="K10" s="4">
        <v>12</v>
      </c>
      <c r="L10" s="4">
        <v>2</v>
      </c>
      <c r="M10" t="s">
        <v>249</v>
      </c>
    </row>
    <row r="11" spans="1:13" x14ac:dyDescent="0.3">
      <c r="A11" t="s">
        <v>226</v>
      </c>
      <c r="B11" s="16">
        <v>65</v>
      </c>
      <c r="D11" s="16">
        <v>0</v>
      </c>
      <c r="E11" s="4">
        <v>7</v>
      </c>
      <c r="F11" s="5">
        <v>0.25</v>
      </c>
      <c r="G11" s="16">
        <v>8</v>
      </c>
      <c r="H11" s="4">
        <v>0</v>
      </c>
      <c r="I11" s="5">
        <v>0.1</v>
      </c>
      <c r="J11" t="s">
        <v>247</v>
      </c>
      <c r="K11" s="4">
        <v>12</v>
      </c>
      <c r="L11" s="4">
        <v>0</v>
      </c>
      <c r="M11" t="s">
        <v>248</v>
      </c>
    </row>
    <row r="12" spans="1:13" x14ac:dyDescent="0.3">
      <c r="A12" t="s">
        <v>225</v>
      </c>
      <c r="B12" s="16">
        <v>119</v>
      </c>
      <c r="C12" s="16">
        <v>1299</v>
      </c>
      <c r="D12" s="16">
        <v>0</v>
      </c>
      <c r="E12" s="4">
        <v>21</v>
      </c>
      <c r="F12" s="5">
        <v>0.4</v>
      </c>
      <c r="G12" s="16">
        <v>4</v>
      </c>
      <c r="H12" s="4">
        <v>4</v>
      </c>
      <c r="I12" s="5">
        <v>0.2</v>
      </c>
      <c r="J12" t="s">
        <v>247</v>
      </c>
      <c r="K12" s="4">
        <v>24</v>
      </c>
      <c r="L12" s="4">
        <v>3</v>
      </c>
      <c r="M12" t="s">
        <v>475</v>
      </c>
    </row>
    <row r="15" spans="1:13" x14ac:dyDescent="0.3">
      <c r="A15" s="3" t="s">
        <v>246</v>
      </c>
      <c r="B15" s="3"/>
    </row>
    <row r="16" spans="1:13" x14ac:dyDescent="0.3">
      <c r="A16" t="s">
        <v>267</v>
      </c>
      <c r="B16" s="4">
        <f>Assumptions!B16</f>
        <v>50</v>
      </c>
    </row>
    <row r="17" spans="1:2" x14ac:dyDescent="0.3">
      <c r="A17" t="s">
        <v>245</v>
      </c>
      <c r="B17" s="5">
        <v>1</v>
      </c>
    </row>
    <row r="18" spans="1:2" x14ac:dyDescent="0.3">
      <c r="A18" t="s">
        <v>244</v>
      </c>
      <c r="B18" s="16">
        <v>12</v>
      </c>
    </row>
    <row r="19" spans="1:2" x14ac:dyDescent="0.3">
      <c r="A19" t="s">
        <v>243</v>
      </c>
      <c r="B19" s="4">
        <v>220</v>
      </c>
    </row>
    <row r="20" spans="1:2" x14ac:dyDescent="0.3">
      <c r="A20" t="s">
        <v>242</v>
      </c>
      <c r="B20" s="5">
        <v>0.04</v>
      </c>
    </row>
    <row r="21" spans="1:2" x14ac:dyDescent="0.3">
      <c r="A21" t="s">
        <v>241</v>
      </c>
      <c r="B21" s="4">
        <v>30</v>
      </c>
    </row>
    <row r="23" spans="1:2" x14ac:dyDescent="0.3">
      <c r="A23" s="17" t="s">
        <v>240</v>
      </c>
      <c r="B23" s="3"/>
    </row>
    <row r="24" spans="1:2" x14ac:dyDescent="0.3">
      <c r="A24" s="3" t="s">
        <v>237</v>
      </c>
      <c r="B24" s="3" t="s">
        <v>239</v>
      </c>
    </row>
    <row r="25" spans="1:2" x14ac:dyDescent="0.3">
      <c r="A25" t="s">
        <v>230</v>
      </c>
      <c r="B25" s="5">
        <v>0.08</v>
      </c>
    </row>
    <row r="26" spans="1:2" x14ac:dyDescent="0.3">
      <c r="A26" t="s">
        <v>229</v>
      </c>
      <c r="B26" s="5">
        <v>0.44</v>
      </c>
    </row>
    <row r="27" spans="1:2" x14ac:dyDescent="0.3">
      <c r="A27" t="s">
        <v>228</v>
      </c>
      <c r="B27" s="5">
        <v>0.21</v>
      </c>
    </row>
    <row r="28" spans="1:2" x14ac:dyDescent="0.3">
      <c r="A28" t="s">
        <v>473</v>
      </c>
      <c r="B28" s="5">
        <v>0.12</v>
      </c>
    </row>
    <row r="29" spans="1:2" x14ac:dyDescent="0.3">
      <c r="A29" t="s">
        <v>227</v>
      </c>
      <c r="B29" s="5">
        <v>0.12</v>
      </c>
    </row>
    <row r="30" spans="1:2" x14ac:dyDescent="0.3">
      <c r="A30" t="s">
        <v>226</v>
      </c>
      <c r="B30" s="5">
        <v>0</v>
      </c>
    </row>
    <row r="31" spans="1:2" x14ac:dyDescent="0.3">
      <c r="A31" t="s">
        <v>225</v>
      </c>
      <c r="B31" s="5">
        <v>0.03</v>
      </c>
    </row>
    <row r="34" spans="1:7" x14ac:dyDescent="0.3">
      <c r="A34" s="3" t="s">
        <v>238</v>
      </c>
      <c r="B34" s="3"/>
    </row>
    <row r="35" spans="1:7" x14ac:dyDescent="0.3">
      <c r="A35" s="3" t="s">
        <v>237</v>
      </c>
      <c r="B35" s="3" t="s">
        <v>236</v>
      </c>
      <c r="C35" s="3" t="s">
        <v>235</v>
      </c>
      <c r="D35" s="3" t="s">
        <v>234</v>
      </c>
      <c r="E35" s="3" t="s">
        <v>233</v>
      </c>
      <c r="F35" s="3" t="s">
        <v>232</v>
      </c>
      <c r="G35" s="3" t="s">
        <v>231</v>
      </c>
    </row>
    <row r="36" spans="1:7" x14ac:dyDescent="0.3">
      <c r="A36" t="s">
        <v>230</v>
      </c>
      <c r="B36" s="4">
        <f>$B$16*$B$25</f>
        <v>4</v>
      </c>
      <c r="C36" s="16">
        <f t="shared" ref="C36:C42" si="0">VLOOKUP(A36, $A$5:$M$12, 2, FALSE)</f>
        <v>35</v>
      </c>
      <c r="D36" s="16">
        <f t="shared" ref="D36:D42" si="1">VLOOKUP(A36, $A$5:$M$12, 3, FALSE)</f>
        <v>0</v>
      </c>
      <c r="E36" s="5">
        <f t="shared" ref="E36:E42" si="2">$B$17</f>
        <v>1</v>
      </c>
      <c r="F36" s="16">
        <f t="shared" ref="F36:F42" si="3">B36*E36*C36</f>
        <v>140</v>
      </c>
      <c r="G36" s="16">
        <f t="shared" ref="G36:G42" si="4">B36*(1-E36)*(D36/12)</f>
        <v>0</v>
      </c>
    </row>
    <row r="37" spans="1:7" x14ac:dyDescent="0.3">
      <c r="A37" t="s">
        <v>229</v>
      </c>
      <c r="B37" s="4">
        <f>$B$16*$B$26</f>
        <v>22</v>
      </c>
      <c r="C37" s="16">
        <f t="shared" si="0"/>
        <v>60</v>
      </c>
      <c r="D37" s="16">
        <f t="shared" si="1"/>
        <v>689</v>
      </c>
      <c r="E37" s="5">
        <f t="shared" si="2"/>
        <v>1</v>
      </c>
      <c r="F37" s="16">
        <f t="shared" si="3"/>
        <v>1320</v>
      </c>
      <c r="G37" s="16">
        <f t="shared" si="4"/>
        <v>0</v>
      </c>
    </row>
    <row r="38" spans="1:7" x14ac:dyDescent="0.3">
      <c r="A38" t="s">
        <v>228</v>
      </c>
      <c r="B38" s="4">
        <f>$B$16*$B$27</f>
        <v>10.5</v>
      </c>
      <c r="C38" s="16">
        <f t="shared" si="0"/>
        <v>100</v>
      </c>
      <c r="D38" s="16">
        <f t="shared" si="1"/>
        <v>999</v>
      </c>
      <c r="E38" s="5">
        <f t="shared" si="2"/>
        <v>1</v>
      </c>
      <c r="F38" s="16">
        <f t="shared" si="3"/>
        <v>1050</v>
      </c>
      <c r="G38" s="16">
        <f t="shared" si="4"/>
        <v>0</v>
      </c>
    </row>
    <row r="39" spans="1:7" x14ac:dyDescent="0.3">
      <c r="A39" t="s">
        <v>473</v>
      </c>
      <c r="B39" s="4">
        <f>$B$16*$B$28</f>
        <v>6</v>
      </c>
      <c r="C39" s="16">
        <f t="shared" si="0"/>
        <v>140</v>
      </c>
      <c r="D39" s="16">
        <f t="shared" ref="D39" si="5">VLOOKUP(A39, $A$5:$M$12, 3, FALSE)</f>
        <v>1399</v>
      </c>
      <c r="E39" s="5">
        <f t="shared" si="2"/>
        <v>1</v>
      </c>
      <c r="F39" s="16">
        <f t="shared" ref="F39" si="6">B39*E39*C39</f>
        <v>840</v>
      </c>
      <c r="G39" s="16">
        <f t="shared" ref="G39" si="7">B39*(1-E39)*(D39/12)</f>
        <v>0</v>
      </c>
    </row>
    <row r="40" spans="1:7" x14ac:dyDescent="0.3">
      <c r="A40" t="s">
        <v>227</v>
      </c>
      <c r="B40" s="4">
        <f>$B$16*$B$29</f>
        <v>6</v>
      </c>
      <c r="C40" s="16">
        <f t="shared" si="0"/>
        <v>179</v>
      </c>
      <c r="D40" s="16">
        <f t="shared" si="1"/>
        <v>1900</v>
      </c>
      <c r="E40" s="5">
        <f t="shared" si="2"/>
        <v>1</v>
      </c>
      <c r="F40" s="16">
        <f t="shared" si="3"/>
        <v>1074</v>
      </c>
      <c r="G40" s="16">
        <f t="shared" si="4"/>
        <v>0</v>
      </c>
    </row>
    <row r="41" spans="1:7" x14ac:dyDescent="0.3">
      <c r="A41" t="s">
        <v>226</v>
      </c>
      <c r="B41" s="4">
        <f>$B$16*$B$30</f>
        <v>0</v>
      </c>
      <c r="C41" s="16">
        <f t="shared" si="0"/>
        <v>65</v>
      </c>
      <c r="D41" s="16">
        <f t="shared" si="1"/>
        <v>0</v>
      </c>
      <c r="E41" s="5">
        <f t="shared" si="2"/>
        <v>1</v>
      </c>
      <c r="F41" s="16">
        <f t="shared" si="3"/>
        <v>0</v>
      </c>
      <c r="G41" s="16">
        <f t="shared" si="4"/>
        <v>0</v>
      </c>
    </row>
    <row r="42" spans="1:7" x14ac:dyDescent="0.3">
      <c r="A42" t="s">
        <v>225</v>
      </c>
      <c r="B42" s="4">
        <f>$B$16*$B$31</f>
        <v>1.5</v>
      </c>
      <c r="C42" s="16">
        <f t="shared" si="0"/>
        <v>119</v>
      </c>
      <c r="D42" s="16">
        <f t="shared" si="1"/>
        <v>1299</v>
      </c>
      <c r="E42" s="5">
        <f t="shared" si="2"/>
        <v>1</v>
      </c>
      <c r="F42" s="16">
        <f t="shared" si="3"/>
        <v>178.5</v>
      </c>
      <c r="G42" s="16">
        <f t="shared" si="4"/>
        <v>0</v>
      </c>
    </row>
    <row r="43" spans="1:7" x14ac:dyDescent="0.3">
      <c r="A43" s="3" t="s">
        <v>224</v>
      </c>
      <c r="B43" s="4">
        <f>SUM(B35:B42)</f>
        <v>50</v>
      </c>
      <c r="C43" s="3"/>
      <c r="D43" s="3"/>
      <c r="E43" s="3"/>
      <c r="F43" s="16">
        <f>SUM(F35:F42)</f>
        <v>4602.5</v>
      </c>
      <c r="G43" s="16">
        <f>SUM(G35:G42)</f>
        <v>0</v>
      </c>
    </row>
    <row r="45" spans="1:7" x14ac:dyDescent="0.3">
      <c r="A45" s="3" t="s">
        <v>223</v>
      </c>
      <c r="B45" s="3"/>
    </row>
    <row r="46" spans="1:7" x14ac:dyDescent="0.3">
      <c r="A46" s="3" t="s">
        <v>222</v>
      </c>
      <c r="B46" s="3" t="s">
        <v>221</v>
      </c>
      <c r="C46" s="3" t="s">
        <v>220</v>
      </c>
    </row>
    <row r="47" spans="1:7" x14ac:dyDescent="0.3">
      <c r="A47" s="16">
        <f>$B$18</f>
        <v>12</v>
      </c>
      <c r="B47" s="4">
        <f>$B$19</f>
        <v>220</v>
      </c>
      <c r="C47" s="16">
        <f>A47*B47</f>
        <v>2640</v>
      </c>
    </row>
    <row r="50" spans="1:8" x14ac:dyDescent="0.3">
      <c r="A50" s="3" t="s">
        <v>219</v>
      </c>
      <c r="B50" s="3"/>
    </row>
    <row r="51" spans="1:8" ht="43.2" x14ac:dyDescent="0.3">
      <c r="A51" s="3" t="s">
        <v>218</v>
      </c>
      <c r="B51" s="17" t="s">
        <v>217</v>
      </c>
      <c r="C51" s="17" t="s">
        <v>216</v>
      </c>
      <c r="D51" s="17" t="s">
        <v>215</v>
      </c>
      <c r="E51" s="17" t="s">
        <v>214</v>
      </c>
      <c r="F51" s="17" t="s">
        <v>213</v>
      </c>
      <c r="G51" s="17" t="s">
        <v>212</v>
      </c>
      <c r="H51" s="17" t="s">
        <v>211</v>
      </c>
    </row>
    <row r="52" spans="1:8" x14ac:dyDescent="0.3">
      <c r="A52" s="16">
        <f>F43</f>
        <v>4602.5</v>
      </c>
      <c r="B52" s="16">
        <f>G43</f>
        <v>0</v>
      </c>
      <c r="C52" s="16">
        <f>A47+F43+G43</f>
        <v>4614.5</v>
      </c>
      <c r="D52" s="16">
        <f>(F43+G43)/B43</f>
        <v>92.05</v>
      </c>
      <c r="E52" s="5">
        <f>$B$27</f>
        <v>0.21</v>
      </c>
      <c r="F52" s="5">
        <f>$B$26</f>
        <v>0.44</v>
      </c>
      <c r="G52" s="4">
        <f>B43*$B$20</f>
        <v>2</v>
      </c>
      <c r="H52" s="4">
        <f>$B$21-G52</f>
        <v>28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570B-FD07-440A-B73C-7ADF09320009}">
  <dimension ref="A1:T113"/>
  <sheetViews>
    <sheetView topLeftCell="A60" zoomScale="91" zoomScaleNormal="91" workbookViewId="0">
      <selection activeCell="I15" sqref="I15"/>
    </sheetView>
  </sheetViews>
  <sheetFormatPr defaultRowHeight="14.4" x14ac:dyDescent="0.3"/>
  <cols>
    <col min="1" max="1" width="17.88671875" bestFit="1" customWidth="1"/>
    <col min="2" max="2" width="11.33203125" bestFit="1" customWidth="1"/>
    <col min="3" max="3" width="16.109375" bestFit="1" customWidth="1"/>
    <col min="4" max="4" width="10.21875" bestFit="1" customWidth="1"/>
    <col min="5" max="5" width="22.6640625" bestFit="1" customWidth="1"/>
    <col min="6" max="6" width="11.33203125" bestFit="1" customWidth="1"/>
    <col min="7" max="7" width="10.6640625" bestFit="1" customWidth="1"/>
    <col min="8" max="8" width="11.5546875" customWidth="1"/>
    <col min="9" max="9" width="9.33203125" bestFit="1" customWidth="1"/>
    <col min="10" max="10" width="8.33203125" bestFit="1" customWidth="1"/>
    <col min="11" max="11" width="9" bestFit="1" customWidth="1"/>
    <col min="12" max="12" width="11.33203125" customWidth="1"/>
    <col min="13" max="13" width="8" bestFit="1" customWidth="1"/>
    <col min="14" max="14" width="9.33203125" bestFit="1" customWidth="1"/>
    <col min="15" max="17" width="10.5546875" bestFit="1" customWidth="1"/>
    <col min="18" max="18" width="9.6640625" bestFit="1" customWidth="1"/>
  </cols>
  <sheetData>
    <row r="1" spans="1:20" ht="18" x14ac:dyDescent="0.35">
      <c r="A1" s="32" t="s">
        <v>460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20" x14ac:dyDescent="0.3">
      <c r="A2" s="33" t="s">
        <v>459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4" spans="1:20" ht="24.6" x14ac:dyDescent="0.3">
      <c r="A4" s="29" t="s">
        <v>458</v>
      </c>
      <c r="B4" s="21"/>
      <c r="C4" s="21"/>
      <c r="D4" s="21"/>
      <c r="E4" s="29" t="s">
        <v>457</v>
      </c>
      <c r="F4" s="21"/>
      <c r="G4" s="21"/>
      <c r="H4" s="29" t="s">
        <v>456</v>
      </c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20" ht="24.6" x14ac:dyDescent="0.3">
      <c r="A5" s="28" t="s">
        <v>339</v>
      </c>
      <c r="B5" s="20">
        <f>Assumptions!B7</f>
        <v>8</v>
      </c>
      <c r="C5" s="21"/>
      <c r="D5" s="21"/>
      <c r="E5" s="28" t="s">
        <v>455</v>
      </c>
      <c r="F5" s="30">
        <v>0.75</v>
      </c>
      <c r="G5" s="21"/>
      <c r="H5" s="21" t="s">
        <v>402</v>
      </c>
      <c r="I5" s="25">
        <v>2</v>
      </c>
      <c r="J5" s="21"/>
      <c r="K5" s="21"/>
      <c r="L5" s="21"/>
      <c r="M5" s="21"/>
      <c r="N5" s="21"/>
      <c r="O5" s="21"/>
      <c r="P5" s="21"/>
      <c r="Q5" s="21"/>
      <c r="R5" s="21"/>
    </row>
    <row r="6" spans="1:20" ht="24.6" x14ac:dyDescent="0.3">
      <c r="A6" s="28" t="s">
        <v>337</v>
      </c>
      <c r="B6" s="20">
        <f>Assumptions!B8</f>
        <v>7</v>
      </c>
      <c r="C6" s="21"/>
      <c r="D6" s="21"/>
      <c r="E6" s="28" t="s">
        <v>454</v>
      </c>
      <c r="F6" s="30">
        <v>0.4</v>
      </c>
      <c r="G6" s="21"/>
      <c r="H6" s="21" t="s">
        <v>401</v>
      </c>
      <c r="I6" s="25">
        <v>1.5</v>
      </c>
      <c r="J6" s="21"/>
      <c r="K6" s="21"/>
      <c r="L6" s="21"/>
      <c r="M6" s="21"/>
      <c r="N6" s="21"/>
      <c r="O6" s="21"/>
      <c r="P6" s="21"/>
      <c r="Q6" s="21"/>
      <c r="R6" s="21"/>
    </row>
    <row r="7" spans="1:20" ht="24.6" x14ac:dyDescent="0.3">
      <c r="A7" s="28" t="s">
        <v>335</v>
      </c>
      <c r="B7" s="20">
        <v>14</v>
      </c>
      <c r="C7" s="21"/>
      <c r="D7" s="21"/>
      <c r="E7" s="28" t="s">
        <v>453</v>
      </c>
      <c r="F7" s="30">
        <v>0.85</v>
      </c>
      <c r="G7" s="21"/>
      <c r="H7" s="21" t="s">
        <v>400</v>
      </c>
      <c r="I7" s="25">
        <v>1.5</v>
      </c>
      <c r="J7" s="21"/>
      <c r="K7" s="21"/>
      <c r="L7" s="21"/>
      <c r="M7" s="21"/>
      <c r="N7" s="21"/>
      <c r="O7" s="21"/>
      <c r="P7" s="21"/>
      <c r="Q7" s="21"/>
      <c r="R7" s="21"/>
    </row>
    <row r="8" spans="1:20" ht="24.6" x14ac:dyDescent="0.3">
      <c r="A8" s="28" t="s">
        <v>333</v>
      </c>
      <c r="B8" s="30">
        <f>(B7-4)/B7</f>
        <v>0.7142857142857143</v>
      </c>
      <c r="C8" s="21"/>
      <c r="D8" s="21"/>
      <c r="E8" s="28" t="s">
        <v>452</v>
      </c>
      <c r="F8" s="30">
        <v>0.5</v>
      </c>
      <c r="G8" s="21"/>
      <c r="H8" s="21" t="s">
        <v>399</v>
      </c>
      <c r="I8" s="25">
        <v>1.2</v>
      </c>
      <c r="J8" s="21"/>
      <c r="K8" s="21"/>
      <c r="L8" s="21"/>
      <c r="M8" s="21"/>
      <c r="N8" s="21"/>
      <c r="O8" s="21"/>
      <c r="P8" s="21"/>
      <c r="Q8" s="21"/>
      <c r="R8" s="21"/>
    </row>
    <row r="9" spans="1:20" x14ac:dyDescent="0.3">
      <c r="A9" s="28" t="s">
        <v>331</v>
      </c>
      <c r="B9" s="30">
        <v>0.2857142857142857</v>
      </c>
      <c r="C9" s="21"/>
      <c r="D9" s="21"/>
      <c r="E9" s="28"/>
      <c r="F9" s="21"/>
      <c r="G9" s="21"/>
      <c r="H9" s="21" t="s">
        <v>398</v>
      </c>
      <c r="I9" s="25">
        <v>1</v>
      </c>
      <c r="J9" s="21"/>
      <c r="K9" s="21"/>
      <c r="L9" s="21"/>
      <c r="M9" s="21"/>
      <c r="N9" s="21"/>
      <c r="O9" s="21"/>
      <c r="P9" s="21"/>
      <c r="Q9" s="21"/>
      <c r="R9" s="21"/>
    </row>
    <row r="10" spans="1:20" ht="36.6" x14ac:dyDescent="0.3">
      <c r="A10" s="28" t="s">
        <v>310</v>
      </c>
      <c r="B10" s="30">
        <v>0.25</v>
      </c>
      <c r="C10" s="21"/>
      <c r="D10" s="21"/>
      <c r="E10" s="28"/>
      <c r="F10" s="21"/>
      <c r="G10" s="21"/>
      <c r="H10" s="21" t="s">
        <v>397</v>
      </c>
      <c r="I10" s="25">
        <v>0.8</v>
      </c>
      <c r="J10" s="21"/>
      <c r="K10" s="21"/>
      <c r="L10" s="21"/>
      <c r="M10" s="21"/>
      <c r="N10" s="21"/>
      <c r="O10" s="21"/>
      <c r="P10" s="21"/>
      <c r="Q10" s="21"/>
      <c r="R10" s="21"/>
    </row>
    <row r="11" spans="1:20" ht="24.6" x14ac:dyDescent="0.3">
      <c r="A11" s="29" t="s">
        <v>340</v>
      </c>
      <c r="B11" s="21"/>
      <c r="C11" s="21"/>
      <c r="D11" s="21"/>
      <c r="E11" s="29" t="s">
        <v>451</v>
      </c>
      <c r="F11" s="21"/>
      <c r="G11" s="21"/>
      <c r="H11" s="21" t="s">
        <v>396</v>
      </c>
      <c r="I11" s="25">
        <v>0.8</v>
      </c>
      <c r="J11" s="21"/>
      <c r="K11" s="21"/>
      <c r="L11" s="21"/>
      <c r="M11" s="21"/>
      <c r="N11" s="21"/>
      <c r="O11" s="21"/>
      <c r="P11" s="21"/>
      <c r="Q11" s="21"/>
      <c r="R11" s="21"/>
    </row>
    <row r="12" spans="1:20" ht="24.6" x14ac:dyDescent="0.3">
      <c r="A12" s="28" t="s">
        <v>338</v>
      </c>
      <c r="B12" s="19">
        <f>Assumptions!B13</f>
        <v>40</v>
      </c>
      <c r="C12" s="21"/>
      <c r="D12" s="21"/>
      <c r="E12" s="28" t="s">
        <v>311</v>
      </c>
      <c r="F12" s="30">
        <v>0.05</v>
      </c>
      <c r="G12" s="21"/>
      <c r="H12" s="21" t="s">
        <v>395</v>
      </c>
      <c r="I12" s="25">
        <v>0.8</v>
      </c>
      <c r="J12" s="21"/>
      <c r="K12" s="21"/>
      <c r="L12" s="21"/>
      <c r="M12" s="21"/>
      <c r="N12" s="21"/>
      <c r="O12" s="21"/>
      <c r="P12" s="21"/>
      <c r="Q12" s="21"/>
      <c r="R12" s="21"/>
    </row>
    <row r="13" spans="1:20" ht="24.6" x14ac:dyDescent="0.3">
      <c r="A13" s="28" t="s">
        <v>336</v>
      </c>
      <c r="B13" s="19">
        <f>Assumptions!B14</f>
        <v>30</v>
      </c>
      <c r="C13" s="21"/>
      <c r="D13" s="21"/>
      <c r="E13" s="28" t="s">
        <v>450</v>
      </c>
      <c r="F13" s="30">
        <v>0.7</v>
      </c>
      <c r="G13" s="21"/>
      <c r="H13" s="21" t="s">
        <v>394</v>
      </c>
      <c r="I13" s="25">
        <v>1</v>
      </c>
      <c r="J13" s="21"/>
      <c r="K13" s="21"/>
      <c r="L13" s="21"/>
      <c r="M13" s="21"/>
      <c r="N13" s="21"/>
      <c r="O13" s="21"/>
      <c r="P13" s="21"/>
      <c r="Q13" s="21"/>
      <c r="R13" s="21"/>
    </row>
    <row r="14" spans="1:20" ht="24.6" x14ac:dyDescent="0.3">
      <c r="A14" s="28" t="s">
        <v>334</v>
      </c>
      <c r="B14" s="30">
        <v>0.25</v>
      </c>
      <c r="C14" s="21"/>
      <c r="D14" s="21"/>
      <c r="E14" s="28" t="s">
        <v>312</v>
      </c>
      <c r="F14" s="30">
        <v>0.05</v>
      </c>
      <c r="G14" s="21"/>
      <c r="H14" s="21" t="s">
        <v>393</v>
      </c>
      <c r="I14" s="25">
        <v>1.2</v>
      </c>
      <c r="J14" s="21"/>
      <c r="K14" s="21"/>
      <c r="L14" s="21"/>
      <c r="M14" s="21"/>
      <c r="N14" s="21"/>
      <c r="O14" s="21"/>
      <c r="P14" s="21"/>
      <c r="Q14" s="21"/>
      <c r="R14" s="21"/>
    </row>
    <row r="15" spans="1:20" ht="24.6" x14ac:dyDescent="0.3">
      <c r="A15" s="28" t="s">
        <v>332</v>
      </c>
      <c r="B15" s="19">
        <v>5</v>
      </c>
      <c r="C15" s="21"/>
      <c r="D15" s="21"/>
      <c r="E15" s="27"/>
      <c r="G15" s="21"/>
      <c r="H15" s="21" t="s">
        <v>392</v>
      </c>
      <c r="I15" s="25">
        <v>1.5</v>
      </c>
      <c r="J15" s="21"/>
      <c r="K15" s="21"/>
      <c r="L15" s="21"/>
      <c r="M15" s="21"/>
      <c r="N15" s="21"/>
      <c r="O15" s="21"/>
      <c r="P15" s="21"/>
      <c r="Q15" s="21"/>
      <c r="R15" s="21"/>
    </row>
    <row r="16" spans="1:20" ht="24.6" x14ac:dyDescent="0.3">
      <c r="A16" s="28" t="s">
        <v>330</v>
      </c>
      <c r="B16" s="19">
        <v>8</v>
      </c>
      <c r="C16" s="21"/>
      <c r="D16" s="21"/>
      <c r="E16" s="28"/>
      <c r="F16" s="21"/>
      <c r="G16" s="21"/>
      <c r="H16" s="21" t="s">
        <v>391</v>
      </c>
      <c r="I16" s="25">
        <v>2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18" ht="24.6" x14ac:dyDescent="0.3">
      <c r="A17" s="28" t="s">
        <v>328</v>
      </c>
      <c r="B17" s="20">
        <v>60</v>
      </c>
      <c r="C17" s="21"/>
      <c r="D17" s="21"/>
      <c r="E17" s="28"/>
      <c r="F17" s="21"/>
      <c r="G17" s="21"/>
      <c r="H17" s="26" t="s">
        <v>178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x14ac:dyDescent="0.3">
      <c r="C18" s="21"/>
      <c r="D18" s="21"/>
      <c r="E18" s="28"/>
      <c r="F18" s="21"/>
      <c r="G18" s="2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24.6" x14ac:dyDescent="0.3">
      <c r="A19" s="29" t="s">
        <v>449</v>
      </c>
      <c r="B19" s="21"/>
      <c r="C19" s="21"/>
      <c r="D19" s="21"/>
      <c r="E19" s="29" t="s">
        <v>448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24.6" x14ac:dyDescent="0.3">
      <c r="A20" s="28" t="s">
        <v>447</v>
      </c>
      <c r="B20" s="20">
        <f>Assumptions!B16</f>
        <v>50</v>
      </c>
      <c r="C20" s="21"/>
      <c r="D20" s="21"/>
      <c r="E20" s="28" t="s">
        <v>446</v>
      </c>
      <c r="F20" s="30">
        <v>0.5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24.6" x14ac:dyDescent="0.3">
      <c r="A21" s="28" t="s">
        <v>445</v>
      </c>
      <c r="B21" s="30">
        <f>Assumptions!B18</f>
        <v>0.05</v>
      </c>
      <c r="C21" s="21"/>
      <c r="D21" s="21"/>
      <c r="E21" s="28" t="s">
        <v>444</v>
      </c>
      <c r="F21" s="30">
        <v>0.4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24.6" x14ac:dyDescent="0.3">
      <c r="A22" s="28" t="s">
        <v>443</v>
      </c>
      <c r="B22" s="20">
        <v>1000</v>
      </c>
      <c r="C22" s="21"/>
      <c r="D22" s="21"/>
      <c r="E22" s="28" t="s">
        <v>442</v>
      </c>
      <c r="F22" s="30">
        <v>0.5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24.6" x14ac:dyDescent="0.3">
      <c r="A23" s="28" t="s">
        <v>441</v>
      </c>
      <c r="B23" s="30">
        <v>0.5</v>
      </c>
      <c r="C23" s="21"/>
      <c r="D23" s="21"/>
      <c r="E23" s="28" t="s">
        <v>440</v>
      </c>
      <c r="F23" s="30">
        <v>0.4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6.6" x14ac:dyDescent="0.3">
      <c r="A24" s="28" t="s">
        <v>439</v>
      </c>
      <c r="B24" s="25">
        <v>2</v>
      </c>
      <c r="C24" s="21"/>
      <c r="D24" s="21"/>
      <c r="E24" s="28" t="s">
        <v>438</v>
      </c>
      <c r="F24" s="30">
        <v>0.1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24.6" x14ac:dyDescent="0.3">
      <c r="A25" s="28" t="s">
        <v>329</v>
      </c>
      <c r="B25" s="20">
        <v>60</v>
      </c>
      <c r="C25" s="21"/>
      <c r="D25" s="21"/>
      <c r="E25" s="28" t="s">
        <v>437</v>
      </c>
      <c r="F25" s="30">
        <v>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24.6" x14ac:dyDescent="0.3">
      <c r="A26" s="28" t="s">
        <v>436</v>
      </c>
      <c r="B26" s="25">
        <v>12</v>
      </c>
      <c r="C26" s="21"/>
      <c r="D26" s="21"/>
      <c r="E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24.6" x14ac:dyDescent="0.3">
      <c r="A27" s="28" t="s">
        <v>326</v>
      </c>
      <c r="B27" s="20">
        <v>6</v>
      </c>
      <c r="C27" s="21"/>
      <c r="D27" s="21"/>
      <c r="E27" s="28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x14ac:dyDescent="0.3">
      <c r="C28" s="21"/>
      <c r="D28" s="21"/>
      <c r="E28" s="28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x14ac:dyDescent="0.3">
      <c r="A29" s="29" t="s">
        <v>309</v>
      </c>
      <c r="B29" s="21"/>
      <c r="C29" s="21"/>
      <c r="D29" s="21"/>
      <c r="E29" s="29" t="s">
        <v>435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24.6" x14ac:dyDescent="0.3">
      <c r="A30" s="28" t="s">
        <v>434</v>
      </c>
      <c r="B30" s="20">
        <f>B7*B5*4.33*B6</f>
        <v>3394.7200000000003</v>
      </c>
      <c r="C30" s="21"/>
      <c r="D30" s="21"/>
      <c r="E30" s="28" t="s">
        <v>433</v>
      </c>
      <c r="F30" s="30">
        <f>(1-B8)*F5 + B8*F7</f>
        <v>0.8214285714285714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ht="24.6" x14ac:dyDescent="0.3">
      <c r="A31" s="28" t="s">
        <v>432</v>
      </c>
      <c r="B31" s="20">
        <f>B30*B8</f>
        <v>2424.8000000000002</v>
      </c>
      <c r="C31" s="21"/>
      <c r="D31" s="21"/>
      <c r="E31" s="28" t="s">
        <v>431</v>
      </c>
      <c r="F31" s="30">
        <f>(1-B8)*F6 + B8*F8</f>
        <v>0.47142857142857142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x14ac:dyDescent="0.3">
      <c r="A32" s="28" t="s">
        <v>430</v>
      </c>
      <c r="B32" s="20">
        <f>B30*(1-B8)</f>
        <v>969.92000000000007</v>
      </c>
      <c r="C32" s="21"/>
      <c r="D32" s="21"/>
      <c r="E32" s="28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ht="24.6" x14ac:dyDescent="0.3">
      <c r="A33" s="28" t="s">
        <v>429</v>
      </c>
      <c r="B33" s="30">
        <f>(1-B10)</f>
        <v>0.75</v>
      </c>
      <c r="C33" s="21"/>
      <c r="D33" s="21"/>
      <c r="E33" s="29" t="s">
        <v>428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ht="24.6" x14ac:dyDescent="0.3">
      <c r="A34" s="28"/>
      <c r="B34" s="21"/>
      <c r="C34" s="21"/>
      <c r="D34" s="21"/>
      <c r="E34" s="28" t="s">
        <v>427</v>
      </c>
      <c r="F34" s="30">
        <f>(1-B8)*F20 + B8*F22</f>
        <v>0.5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ht="24.6" x14ac:dyDescent="0.3">
      <c r="A35" s="28"/>
      <c r="B35" s="21"/>
      <c r="C35" s="21"/>
      <c r="D35" s="21"/>
      <c r="E35" s="28" t="s">
        <v>426</v>
      </c>
      <c r="F35" s="30">
        <f>(1-B8)*F21 + B8*F23</f>
        <v>0.4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x14ac:dyDescent="0.3">
      <c r="A36" s="28"/>
      <c r="B36" s="21"/>
      <c r="C36" s="21"/>
      <c r="D36" s="21"/>
      <c r="E36" s="28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ht="24.6" x14ac:dyDescent="0.3">
      <c r="A37" s="28"/>
      <c r="B37" s="21"/>
      <c r="C37" s="21"/>
      <c r="D37" s="21"/>
      <c r="E37" s="29" t="s">
        <v>425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ht="24.6" x14ac:dyDescent="0.3">
      <c r="A38" s="28"/>
      <c r="B38" s="21"/>
      <c r="C38" s="21"/>
      <c r="D38" s="21"/>
      <c r="E38" s="28" t="s">
        <v>424</v>
      </c>
      <c r="F38" s="20">
        <f>(B31*F30 + B32*F31)*B10</f>
        <v>612.26200000000006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24.6" x14ac:dyDescent="0.3">
      <c r="A39" s="28" t="s">
        <v>423</v>
      </c>
      <c r="B39" s="25">
        <f>B25/60</f>
        <v>1</v>
      </c>
      <c r="C39" s="21"/>
      <c r="D39" s="21"/>
      <c r="E39" s="28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ht="24.6" x14ac:dyDescent="0.3">
      <c r="A40" s="28" t="s">
        <v>422</v>
      </c>
      <c r="B40" s="25">
        <f>B17/60</f>
        <v>1</v>
      </c>
      <c r="C40" s="21"/>
      <c r="D40" s="21"/>
      <c r="E40" s="29" t="s">
        <v>421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ht="24.6" x14ac:dyDescent="0.3">
      <c r="A41" s="28"/>
      <c r="B41" s="21"/>
      <c r="C41" s="21"/>
      <c r="D41" s="21"/>
      <c r="E41" s="28" t="s">
        <v>420</v>
      </c>
      <c r="F41" s="19">
        <f>(B12*B31 + B13*B32)/(B31+B32)</f>
        <v>37.142857142857139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ht="24.6" x14ac:dyDescent="0.3">
      <c r="A42" s="28"/>
      <c r="B42" s="21"/>
      <c r="C42" s="21"/>
      <c r="D42" s="21"/>
      <c r="E42" s="28" t="s">
        <v>419</v>
      </c>
      <c r="F42" s="19">
        <f>F41*(1-B14)</f>
        <v>27.857142857142854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x14ac:dyDescent="0.3">
      <c r="A43" s="27"/>
      <c r="E43" s="27"/>
    </row>
    <row r="44" spans="1:18" ht="36.6" x14ac:dyDescent="0.3">
      <c r="A44" s="22" t="s">
        <v>84</v>
      </c>
      <c r="B44" s="22" t="s">
        <v>418</v>
      </c>
      <c r="C44" s="22" t="s">
        <v>181</v>
      </c>
      <c r="D44" s="22" t="s">
        <v>417</v>
      </c>
      <c r="E44" s="22" t="s">
        <v>416</v>
      </c>
      <c r="F44" s="22" t="s">
        <v>415</v>
      </c>
      <c r="G44" s="22" t="s">
        <v>414</v>
      </c>
      <c r="H44" s="22" t="s">
        <v>413</v>
      </c>
      <c r="I44" s="22" t="s">
        <v>412</v>
      </c>
      <c r="J44" s="22" t="s">
        <v>411</v>
      </c>
      <c r="K44" s="22" t="s">
        <v>410</v>
      </c>
      <c r="L44" s="22" t="s">
        <v>409</v>
      </c>
      <c r="M44" s="22" t="s">
        <v>408</v>
      </c>
      <c r="N44" s="22" t="s">
        <v>407</v>
      </c>
      <c r="O44" s="22" t="s">
        <v>406</v>
      </c>
      <c r="P44" s="22" t="s">
        <v>405</v>
      </c>
      <c r="Q44" s="22" t="s">
        <v>404</v>
      </c>
      <c r="R44" s="22" t="s">
        <v>403</v>
      </c>
    </row>
    <row r="45" spans="1:18" x14ac:dyDescent="0.3">
      <c r="A45" s="26" t="s">
        <v>402</v>
      </c>
      <c r="B45" s="25">
        <f>INDEX($I$5:$I$16, 1+MOD(1-1,12))</f>
        <v>2</v>
      </c>
      <c r="C45" s="20">
        <f>MIN(B20,$B$22)</f>
        <v>50</v>
      </c>
      <c r="D45" s="25">
        <f t="shared" ref="D45:D92" si="0">C45*$B$23*$B$24*$B$39*B45</f>
        <v>100</v>
      </c>
      <c r="E45" s="25">
        <f t="shared" ref="E45:E92" si="1">MIN(D45, $F$38)</f>
        <v>100</v>
      </c>
      <c r="F45" s="25">
        <f>(($B$31*$F$34*$B$10) + ($B$32*$F$35*$B$10))*(1+$F$24)*B45</f>
        <v>880.20240000000013</v>
      </c>
      <c r="G45" s="25">
        <f>MIN(F45, MAX($F$38-E45,0), $F$25*$F$38)</f>
        <v>512.26200000000006</v>
      </c>
      <c r="H45" s="19">
        <f t="shared" ref="H45:H92" si="2">IFERROR(($F$42*E45 + $F$41*G45)/(E45+G45),0)</f>
        <v>35.62623284056265</v>
      </c>
      <c r="I45" s="19">
        <f t="shared" ref="I45:I92" si="3">(E45+G45)*H45</f>
        <v>21812.588571428572</v>
      </c>
      <c r="J45" s="19">
        <f t="shared" ref="J45:J92" si="4">H45*(E45+G45)*$F$12</f>
        <v>1090.6294285714287</v>
      </c>
      <c r="K45" s="25">
        <f>C45*$B$26*$B$40*B45</f>
        <v>1200</v>
      </c>
      <c r="L45" s="25">
        <f t="shared" ref="L45:L92" si="5">MIN(K45, $B$30*(1-$B$10))</f>
        <v>1200</v>
      </c>
      <c r="M45" s="20">
        <f t="shared" ref="M45:M92" si="6">IFERROR(L45/$B$40,0)</f>
        <v>1200</v>
      </c>
      <c r="N45" s="19">
        <f t="shared" ref="N45:N92" si="7">M45*$B$15</f>
        <v>6000</v>
      </c>
      <c r="O45" s="25">
        <f t="shared" ref="O45:O92" si="8">MAX($B$30*(1-$B$10)-L45,0)</f>
        <v>1346.04</v>
      </c>
      <c r="P45" s="20">
        <f t="shared" ref="P45:P92" si="9">IFERROR(O45/$B$40,0)</f>
        <v>1346.04</v>
      </c>
      <c r="Q45" s="19">
        <f t="shared" ref="Q45:Q92" si="10">P45*$B$16</f>
        <v>10768.32</v>
      </c>
      <c r="R45" s="19">
        <f t="shared" ref="R45:R92" si="11">I45+J45+N45+Q45</f>
        <v>39671.538</v>
      </c>
    </row>
    <row r="46" spans="1:18" x14ac:dyDescent="0.3">
      <c r="A46" s="26" t="s">
        <v>401</v>
      </c>
      <c r="B46" s="25">
        <f>INDEX($I$5:$I$16, 1+MOD(2-1,12))</f>
        <v>1.5</v>
      </c>
      <c r="C46" s="20">
        <f t="shared" ref="C46:C92" si="12">MIN(C45*(1+$B$21), $B$22)</f>
        <v>52.5</v>
      </c>
      <c r="D46" s="25">
        <f t="shared" si="0"/>
        <v>78.75</v>
      </c>
      <c r="E46" s="25">
        <f t="shared" si="1"/>
        <v>78.75</v>
      </c>
      <c r="F46" s="25">
        <f>(($B$31*$F$34*$B$10) + ($B$32*$F$35*$B$10))*(1+$F$24)*B46</f>
        <v>660.15180000000009</v>
      </c>
      <c r="G46" s="25">
        <f t="shared" ref="G46:G91" si="13">MIN(F46, MAX($F$38-E46,0), $F$25*$F$38)</f>
        <v>533.51200000000006</v>
      </c>
      <c r="H46" s="19">
        <f t="shared" si="2"/>
        <v>35.948515504800227</v>
      </c>
      <c r="I46" s="19">
        <f t="shared" si="3"/>
        <v>22009.91</v>
      </c>
      <c r="J46" s="19">
        <f t="shared" si="4"/>
        <v>1100.4955</v>
      </c>
      <c r="K46" s="25">
        <f>C46*$B$26*$B$40*B46</f>
        <v>945</v>
      </c>
      <c r="L46" s="25">
        <f t="shared" si="5"/>
        <v>945</v>
      </c>
      <c r="M46" s="20">
        <f t="shared" si="6"/>
        <v>945</v>
      </c>
      <c r="N46" s="19">
        <f t="shared" si="7"/>
        <v>4725</v>
      </c>
      <c r="O46" s="25">
        <f t="shared" si="8"/>
        <v>1601.04</v>
      </c>
      <c r="P46" s="20">
        <f t="shared" si="9"/>
        <v>1601.04</v>
      </c>
      <c r="Q46" s="19">
        <f t="shared" si="10"/>
        <v>12808.32</v>
      </c>
      <c r="R46" s="19">
        <f t="shared" si="11"/>
        <v>40643.7255</v>
      </c>
    </row>
    <row r="47" spans="1:18" x14ac:dyDescent="0.3">
      <c r="A47" s="26" t="s">
        <v>400</v>
      </c>
      <c r="B47" s="25">
        <f>INDEX($I$5:$I$16, 1+MOD(3-1,12))</f>
        <v>1.5</v>
      </c>
      <c r="C47" s="20">
        <f t="shared" si="12"/>
        <v>55.125</v>
      </c>
      <c r="D47" s="25">
        <f t="shared" si="0"/>
        <v>82.6875</v>
      </c>
      <c r="E47" s="25">
        <f t="shared" si="1"/>
        <v>82.6875</v>
      </c>
      <c r="F47" s="25">
        <f t="shared" ref="F47:F92" si="14">(($B$31*$F$34*$B$10) + ($B$32*$F$35*$B$10))*(1+$F$24)*B47</f>
        <v>660.15180000000009</v>
      </c>
      <c r="G47" s="25">
        <f t="shared" si="13"/>
        <v>529.57450000000006</v>
      </c>
      <c r="H47" s="19">
        <f t="shared" si="2"/>
        <v>35.888798422897381</v>
      </c>
      <c r="I47" s="19">
        <f t="shared" si="3"/>
        <v>21973.3475</v>
      </c>
      <c r="J47" s="19">
        <f t="shared" si="4"/>
        <v>1098.667375</v>
      </c>
      <c r="K47" s="25">
        <f>C47*B25*B40*B47</f>
        <v>4961.25</v>
      </c>
      <c r="L47" s="25">
        <f t="shared" si="5"/>
        <v>2546.04</v>
      </c>
      <c r="M47" s="20">
        <f t="shared" si="6"/>
        <v>2546.04</v>
      </c>
      <c r="N47" s="19">
        <f t="shared" si="7"/>
        <v>12730.2</v>
      </c>
      <c r="O47" s="25">
        <f t="shared" si="8"/>
        <v>0</v>
      </c>
      <c r="P47" s="20">
        <f t="shared" si="9"/>
        <v>0</v>
      </c>
      <c r="Q47" s="19">
        <f t="shared" si="10"/>
        <v>0</v>
      </c>
      <c r="R47" s="19">
        <f t="shared" si="11"/>
        <v>35802.214875000005</v>
      </c>
    </row>
    <row r="48" spans="1:18" x14ac:dyDescent="0.3">
      <c r="A48" s="26" t="s">
        <v>399</v>
      </c>
      <c r="B48" s="25">
        <f>INDEX($I$5:$I$16, 1+MOD(4-1,12))</f>
        <v>1.2</v>
      </c>
      <c r="C48" s="20">
        <f t="shared" si="12"/>
        <v>57.881250000000001</v>
      </c>
      <c r="D48" s="25">
        <f t="shared" si="0"/>
        <v>69.457499999999996</v>
      </c>
      <c r="E48" s="25">
        <f t="shared" si="1"/>
        <v>69.457499999999996</v>
      </c>
      <c r="F48" s="25">
        <f t="shared" si="14"/>
        <v>528.12144000000001</v>
      </c>
      <c r="G48" s="25">
        <f t="shared" si="13"/>
        <v>528.12144000000001</v>
      </c>
      <c r="H48" s="19">
        <f t="shared" si="2"/>
        <v>36.063564589474986</v>
      </c>
      <c r="I48" s="19">
        <f t="shared" si="3"/>
        <v>21550.826699999998</v>
      </c>
      <c r="J48" s="19">
        <f t="shared" si="4"/>
        <v>1077.5413349999999</v>
      </c>
      <c r="K48" s="25">
        <f>C48*B25*B40*B48</f>
        <v>4167.45</v>
      </c>
      <c r="L48" s="25">
        <f t="shared" si="5"/>
        <v>2546.04</v>
      </c>
      <c r="M48" s="20">
        <f t="shared" si="6"/>
        <v>2546.04</v>
      </c>
      <c r="N48" s="19">
        <f t="shared" si="7"/>
        <v>12730.2</v>
      </c>
      <c r="O48" s="25">
        <f t="shared" si="8"/>
        <v>0</v>
      </c>
      <c r="P48" s="20">
        <f t="shared" si="9"/>
        <v>0</v>
      </c>
      <c r="Q48" s="19">
        <f t="shared" si="10"/>
        <v>0</v>
      </c>
      <c r="R48" s="19">
        <f t="shared" si="11"/>
        <v>35358.568035000004</v>
      </c>
    </row>
    <row r="49" spans="1:18" x14ac:dyDescent="0.3">
      <c r="A49" s="26" t="s">
        <v>398</v>
      </c>
      <c r="B49" s="25">
        <f>INDEX($I$5:$I$16, 1+MOD(5-1,12))</f>
        <v>1</v>
      </c>
      <c r="C49" s="20">
        <f t="shared" si="12"/>
        <v>60.775312500000005</v>
      </c>
      <c r="D49" s="25">
        <f t="shared" si="0"/>
        <v>60.775312500000005</v>
      </c>
      <c r="E49" s="25">
        <f t="shared" si="1"/>
        <v>60.775312500000005</v>
      </c>
      <c r="F49" s="25">
        <f t="shared" si="14"/>
        <v>440.10120000000006</v>
      </c>
      <c r="G49" s="25">
        <f t="shared" si="13"/>
        <v>440.10120000000006</v>
      </c>
      <c r="H49" s="19">
        <f t="shared" si="2"/>
        <v>36.016147917297282</v>
      </c>
      <c r="I49" s="19">
        <f t="shared" si="3"/>
        <v>18039.642562500001</v>
      </c>
      <c r="J49" s="19">
        <f t="shared" si="4"/>
        <v>901.98212812500014</v>
      </c>
      <c r="K49" s="25">
        <f>C49*B25*B40*B49</f>
        <v>3646.5187500000002</v>
      </c>
      <c r="L49" s="25">
        <f t="shared" si="5"/>
        <v>2546.04</v>
      </c>
      <c r="M49" s="20">
        <f t="shared" si="6"/>
        <v>2546.04</v>
      </c>
      <c r="N49" s="19">
        <f t="shared" si="7"/>
        <v>12730.2</v>
      </c>
      <c r="O49" s="25">
        <f t="shared" si="8"/>
        <v>0</v>
      </c>
      <c r="P49" s="20">
        <f t="shared" si="9"/>
        <v>0</v>
      </c>
      <c r="Q49" s="19">
        <f t="shared" si="10"/>
        <v>0</v>
      </c>
      <c r="R49" s="19">
        <f t="shared" si="11"/>
        <v>31671.824690625002</v>
      </c>
    </row>
    <row r="50" spans="1:18" x14ac:dyDescent="0.3">
      <c r="A50" s="26" t="s">
        <v>397</v>
      </c>
      <c r="B50" s="25">
        <f>INDEX($I$5:$I$16, 1+MOD(6-1,12))</f>
        <v>0.8</v>
      </c>
      <c r="C50" s="20">
        <f t="shared" si="12"/>
        <v>63.814078125000009</v>
      </c>
      <c r="D50" s="25">
        <f t="shared" si="0"/>
        <v>51.051262500000007</v>
      </c>
      <c r="E50" s="25">
        <f t="shared" si="1"/>
        <v>51.051262500000007</v>
      </c>
      <c r="F50" s="25">
        <f t="shared" si="14"/>
        <v>352.08096000000006</v>
      </c>
      <c r="G50" s="25">
        <f t="shared" si="13"/>
        <v>352.08096000000006</v>
      </c>
      <c r="H50" s="19">
        <f t="shared" si="2"/>
        <v>35.966946582891914</v>
      </c>
      <c r="I50" s="19">
        <f t="shared" si="3"/>
        <v>14499.435112500001</v>
      </c>
      <c r="J50" s="19">
        <f t="shared" si="4"/>
        <v>724.97175562500013</v>
      </c>
      <c r="K50" s="25">
        <f>C50*B25*B40*B50</f>
        <v>3063.0757500000004</v>
      </c>
      <c r="L50" s="25">
        <f t="shared" si="5"/>
        <v>2546.04</v>
      </c>
      <c r="M50" s="20">
        <f t="shared" si="6"/>
        <v>2546.04</v>
      </c>
      <c r="N50" s="19">
        <f t="shared" si="7"/>
        <v>12730.2</v>
      </c>
      <c r="O50" s="25">
        <f t="shared" si="8"/>
        <v>0</v>
      </c>
      <c r="P50" s="20">
        <f t="shared" si="9"/>
        <v>0</v>
      </c>
      <c r="Q50" s="19">
        <f t="shared" si="10"/>
        <v>0</v>
      </c>
      <c r="R50" s="19">
        <f t="shared" si="11"/>
        <v>27954.606868125004</v>
      </c>
    </row>
    <row r="51" spans="1:18" x14ac:dyDescent="0.3">
      <c r="A51" s="26" t="s">
        <v>396</v>
      </c>
      <c r="B51" s="25">
        <f>INDEX($I$5:$I$16, 1+MOD(7-1,12))</f>
        <v>0.8</v>
      </c>
      <c r="C51" s="20">
        <f t="shared" si="12"/>
        <v>67.004782031250016</v>
      </c>
      <c r="D51" s="25">
        <f t="shared" si="0"/>
        <v>53.603825625000013</v>
      </c>
      <c r="E51" s="25">
        <f t="shared" si="1"/>
        <v>53.603825625000013</v>
      </c>
      <c r="F51" s="25">
        <f t="shared" si="14"/>
        <v>352.08096000000006</v>
      </c>
      <c r="G51" s="25">
        <f t="shared" si="13"/>
        <v>352.08096000000006</v>
      </c>
      <c r="H51" s="19">
        <f t="shared" si="2"/>
        <v>35.915919808719345</v>
      </c>
      <c r="I51" s="19">
        <f t="shared" si="3"/>
        <v>14570.542228125001</v>
      </c>
      <c r="J51" s="19">
        <f t="shared" si="4"/>
        <v>728.52711140625013</v>
      </c>
      <c r="K51" s="25">
        <f>C51*B25*B40*B51</f>
        <v>3216.2295375000012</v>
      </c>
      <c r="L51" s="25">
        <f t="shared" si="5"/>
        <v>2546.04</v>
      </c>
      <c r="M51" s="20">
        <f t="shared" si="6"/>
        <v>2546.04</v>
      </c>
      <c r="N51" s="19">
        <f t="shared" si="7"/>
        <v>12730.2</v>
      </c>
      <c r="O51" s="25">
        <f t="shared" si="8"/>
        <v>0</v>
      </c>
      <c r="P51" s="20">
        <f t="shared" si="9"/>
        <v>0</v>
      </c>
      <c r="Q51" s="19">
        <f t="shared" si="10"/>
        <v>0</v>
      </c>
      <c r="R51" s="19">
        <f t="shared" si="11"/>
        <v>28029.269339531253</v>
      </c>
    </row>
    <row r="52" spans="1:18" x14ac:dyDescent="0.3">
      <c r="A52" s="26" t="s">
        <v>395</v>
      </c>
      <c r="B52" s="25">
        <f>INDEX($I$5:$I$16, 1+MOD(8-1,12))</f>
        <v>0.8</v>
      </c>
      <c r="C52" s="20">
        <f t="shared" si="12"/>
        <v>70.355021132812524</v>
      </c>
      <c r="D52" s="25">
        <f t="shared" si="0"/>
        <v>56.284016906250024</v>
      </c>
      <c r="E52" s="25">
        <f t="shared" si="1"/>
        <v>56.284016906250024</v>
      </c>
      <c r="F52" s="25">
        <f t="shared" si="14"/>
        <v>352.08096000000006</v>
      </c>
      <c r="G52" s="25">
        <f t="shared" si="13"/>
        <v>352.08096000000006</v>
      </c>
      <c r="H52" s="19">
        <f t="shared" si="2"/>
        <v>35.863028241262249</v>
      </c>
      <c r="I52" s="19">
        <f t="shared" si="3"/>
        <v>14645.204699531254</v>
      </c>
      <c r="J52" s="19">
        <f t="shared" si="4"/>
        <v>732.26023497656274</v>
      </c>
      <c r="K52" s="25">
        <f>C52*B25*B40*B52</f>
        <v>3377.0410143750014</v>
      </c>
      <c r="L52" s="25">
        <f t="shared" si="5"/>
        <v>2546.04</v>
      </c>
      <c r="M52" s="20">
        <f t="shared" si="6"/>
        <v>2546.04</v>
      </c>
      <c r="N52" s="19">
        <f t="shared" si="7"/>
        <v>12730.2</v>
      </c>
      <c r="O52" s="25">
        <f t="shared" si="8"/>
        <v>0</v>
      </c>
      <c r="P52" s="20">
        <f t="shared" si="9"/>
        <v>0</v>
      </c>
      <c r="Q52" s="19">
        <f t="shared" si="10"/>
        <v>0</v>
      </c>
      <c r="R52" s="19">
        <f t="shared" si="11"/>
        <v>28107.664934507819</v>
      </c>
    </row>
    <row r="53" spans="1:18" x14ac:dyDescent="0.3">
      <c r="A53" s="26" t="s">
        <v>394</v>
      </c>
      <c r="B53" s="25">
        <f>INDEX($I$5:$I$16, 1+MOD(9-1,12))</f>
        <v>1</v>
      </c>
      <c r="C53" s="20">
        <f t="shared" si="12"/>
        <v>73.872772189453158</v>
      </c>
      <c r="D53" s="25">
        <f t="shared" si="0"/>
        <v>73.872772189453158</v>
      </c>
      <c r="E53" s="25">
        <f t="shared" si="1"/>
        <v>73.872772189453158</v>
      </c>
      <c r="F53" s="25">
        <f t="shared" si="14"/>
        <v>440.10120000000006</v>
      </c>
      <c r="G53" s="25">
        <f t="shared" si="13"/>
        <v>440.10120000000006</v>
      </c>
      <c r="H53" s="19">
        <f t="shared" si="2"/>
        <v>35.808234198580742</v>
      </c>
      <c r="I53" s="19">
        <f t="shared" si="3"/>
        <v>18404.500368134766</v>
      </c>
      <c r="J53" s="19">
        <f t="shared" si="4"/>
        <v>920.2250184067384</v>
      </c>
      <c r="K53" s="25">
        <f>C53*B25*B40*B53</f>
        <v>4432.3663313671896</v>
      </c>
      <c r="L53" s="25">
        <f t="shared" si="5"/>
        <v>2546.04</v>
      </c>
      <c r="M53" s="20">
        <f t="shared" si="6"/>
        <v>2546.04</v>
      </c>
      <c r="N53" s="19">
        <f t="shared" si="7"/>
        <v>12730.2</v>
      </c>
      <c r="O53" s="25">
        <f t="shared" si="8"/>
        <v>0</v>
      </c>
      <c r="P53" s="20">
        <f t="shared" si="9"/>
        <v>0</v>
      </c>
      <c r="Q53" s="19">
        <f t="shared" si="10"/>
        <v>0</v>
      </c>
      <c r="R53" s="19">
        <f t="shared" si="11"/>
        <v>32054.925386541505</v>
      </c>
    </row>
    <row r="54" spans="1:18" x14ac:dyDescent="0.3">
      <c r="A54" s="26" t="s">
        <v>393</v>
      </c>
      <c r="B54" s="25">
        <f>INDEX($I$5:$I$16, 1+MOD(10-1,12))</f>
        <v>1.2</v>
      </c>
      <c r="C54" s="20">
        <f t="shared" si="12"/>
        <v>77.566410798925816</v>
      </c>
      <c r="D54" s="25">
        <f t="shared" si="0"/>
        <v>93.079692958710979</v>
      </c>
      <c r="E54" s="25">
        <f t="shared" si="1"/>
        <v>93.079692958710979</v>
      </c>
      <c r="F54" s="25">
        <f t="shared" si="14"/>
        <v>528.12144000000001</v>
      </c>
      <c r="G54" s="25">
        <f t="shared" si="13"/>
        <v>519.18230704128905</v>
      </c>
      <c r="H54" s="19">
        <f t="shared" si="2"/>
        <v>35.731187898944235</v>
      </c>
      <c r="I54" s="19">
        <f t="shared" si="3"/>
        <v>21876.848565383396</v>
      </c>
      <c r="J54" s="19">
        <f t="shared" si="4"/>
        <v>1093.8424282691699</v>
      </c>
      <c r="K54" s="25">
        <f>C54*B25*B40*B54</f>
        <v>5584.7815775226591</v>
      </c>
      <c r="L54" s="25">
        <f t="shared" si="5"/>
        <v>2546.04</v>
      </c>
      <c r="M54" s="20">
        <f t="shared" si="6"/>
        <v>2546.04</v>
      </c>
      <c r="N54" s="19">
        <f t="shared" si="7"/>
        <v>12730.2</v>
      </c>
      <c r="O54" s="25">
        <f t="shared" si="8"/>
        <v>0</v>
      </c>
      <c r="P54" s="20">
        <f t="shared" si="9"/>
        <v>0</v>
      </c>
      <c r="Q54" s="19">
        <f t="shared" si="10"/>
        <v>0</v>
      </c>
      <c r="R54" s="19">
        <f t="shared" si="11"/>
        <v>35700.890993652567</v>
      </c>
    </row>
    <row r="55" spans="1:18" x14ac:dyDescent="0.3">
      <c r="A55" s="26" t="s">
        <v>392</v>
      </c>
      <c r="B55" s="25">
        <f>INDEX($I$5:$I$16, 1+MOD(11-1,12))</f>
        <v>1.5</v>
      </c>
      <c r="C55" s="20">
        <f t="shared" si="12"/>
        <v>81.444731338872103</v>
      </c>
      <c r="D55" s="25">
        <f t="shared" si="0"/>
        <v>122.16709700830816</v>
      </c>
      <c r="E55" s="25">
        <f t="shared" si="1"/>
        <v>122.16709700830816</v>
      </c>
      <c r="F55" s="25">
        <f t="shared" si="14"/>
        <v>660.15180000000009</v>
      </c>
      <c r="G55" s="25">
        <f t="shared" si="13"/>
        <v>490.09490299169192</v>
      </c>
      <c r="H55" s="19">
        <f t="shared" si="2"/>
        <v>35.290041260221457</v>
      </c>
      <c r="I55" s="19">
        <f t="shared" si="3"/>
        <v>21606.751242065711</v>
      </c>
      <c r="J55" s="19">
        <f t="shared" si="4"/>
        <v>1080.3375621032856</v>
      </c>
      <c r="K55" s="25">
        <f>C55*B25*B40*B55</f>
        <v>7330.0258204984893</v>
      </c>
      <c r="L55" s="25">
        <f t="shared" si="5"/>
        <v>2546.04</v>
      </c>
      <c r="M55" s="20">
        <f t="shared" si="6"/>
        <v>2546.04</v>
      </c>
      <c r="N55" s="19">
        <f t="shared" si="7"/>
        <v>12730.2</v>
      </c>
      <c r="O55" s="25">
        <f t="shared" si="8"/>
        <v>0</v>
      </c>
      <c r="P55" s="20">
        <f t="shared" si="9"/>
        <v>0</v>
      </c>
      <c r="Q55" s="19">
        <f t="shared" si="10"/>
        <v>0</v>
      </c>
      <c r="R55" s="19">
        <f t="shared" si="11"/>
        <v>35417.288804169002</v>
      </c>
    </row>
    <row r="56" spans="1:18" x14ac:dyDescent="0.3">
      <c r="A56" s="26" t="s">
        <v>391</v>
      </c>
      <c r="B56" s="25">
        <f>INDEX($I$5:$I$16, 1+MOD(12-1,12))</f>
        <v>2</v>
      </c>
      <c r="C56" s="20">
        <f t="shared" si="12"/>
        <v>85.516967905815719</v>
      </c>
      <c r="D56" s="25">
        <f t="shared" si="0"/>
        <v>171.03393581163144</v>
      </c>
      <c r="E56" s="25">
        <f t="shared" si="1"/>
        <v>171.03393581163144</v>
      </c>
      <c r="F56" s="25">
        <f t="shared" si="14"/>
        <v>880.20240000000013</v>
      </c>
      <c r="G56" s="25">
        <f t="shared" si="13"/>
        <v>441.22806418836865</v>
      </c>
      <c r="H56" s="19">
        <f t="shared" si="2"/>
        <v>34.54891490716718</v>
      </c>
      <c r="I56" s="19">
        <f t="shared" si="3"/>
        <v>21152.987738891996</v>
      </c>
      <c r="J56" s="19">
        <f t="shared" si="4"/>
        <v>1057.6493869445999</v>
      </c>
      <c r="K56" s="25">
        <f>C56*B25*B40*B56</f>
        <v>10262.036148697885</v>
      </c>
      <c r="L56" s="25">
        <f t="shared" si="5"/>
        <v>2546.04</v>
      </c>
      <c r="M56" s="20">
        <f t="shared" si="6"/>
        <v>2546.04</v>
      </c>
      <c r="N56" s="19">
        <f t="shared" si="7"/>
        <v>12730.2</v>
      </c>
      <c r="O56" s="25">
        <f t="shared" si="8"/>
        <v>0</v>
      </c>
      <c r="P56" s="20">
        <f t="shared" si="9"/>
        <v>0</v>
      </c>
      <c r="Q56" s="19">
        <f t="shared" si="10"/>
        <v>0</v>
      </c>
      <c r="R56" s="19">
        <f t="shared" si="11"/>
        <v>34940.837125836595</v>
      </c>
    </row>
    <row r="57" spans="1:18" x14ac:dyDescent="0.3">
      <c r="A57" s="26" t="s">
        <v>390</v>
      </c>
      <c r="B57" s="25">
        <f>INDEX($I$5:$I$16, 1+MOD(13-1,12))</f>
        <v>2</v>
      </c>
      <c r="C57" s="20">
        <f t="shared" si="12"/>
        <v>89.792816301106512</v>
      </c>
      <c r="D57" s="25">
        <f t="shared" si="0"/>
        <v>179.58563260221302</v>
      </c>
      <c r="E57" s="25">
        <f t="shared" si="1"/>
        <v>179.58563260221302</v>
      </c>
      <c r="F57" s="25">
        <f t="shared" si="14"/>
        <v>880.20240000000013</v>
      </c>
      <c r="G57" s="25">
        <f t="shared" si="13"/>
        <v>432.67636739778703</v>
      </c>
      <c r="H57" s="19">
        <f t="shared" si="2"/>
        <v>34.419217795382679</v>
      </c>
      <c r="I57" s="19">
        <f t="shared" si="3"/>
        <v>21073.57912583659</v>
      </c>
      <c r="J57" s="19">
        <f t="shared" si="4"/>
        <v>1053.6789562918295</v>
      </c>
      <c r="K57" s="25">
        <f>C57*B25*B40*B57</f>
        <v>10775.137956132781</v>
      </c>
      <c r="L57" s="25">
        <f t="shared" si="5"/>
        <v>2546.04</v>
      </c>
      <c r="M57" s="20">
        <f t="shared" si="6"/>
        <v>2546.04</v>
      </c>
      <c r="N57" s="19">
        <f t="shared" si="7"/>
        <v>12730.2</v>
      </c>
      <c r="O57" s="25">
        <f t="shared" si="8"/>
        <v>0</v>
      </c>
      <c r="P57" s="20">
        <f t="shared" si="9"/>
        <v>0</v>
      </c>
      <c r="Q57" s="19">
        <f t="shared" si="10"/>
        <v>0</v>
      </c>
      <c r="R57" s="19">
        <f t="shared" si="11"/>
        <v>34857.458082128418</v>
      </c>
    </row>
    <row r="58" spans="1:18" x14ac:dyDescent="0.3">
      <c r="A58" s="26" t="s">
        <v>389</v>
      </c>
      <c r="B58" s="25">
        <f>INDEX($I$5:$I$16, 1+MOD(14-1,12))</f>
        <v>1.5</v>
      </c>
      <c r="C58" s="20">
        <f t="shared" si="12"/>
        <v>94.282457116161837</v>
      </c>
      <c r="D58" s="25">
        <f t="shared" si="0"/>
        <v>141.42368567424276</v>
      </c>
      <c r="E58" s="25">
        <f t="shared" si="1"/>
        <v>141.42368567424276</v>
      </c>
      <c r="F58" s="25">
        <f t="shared" si="14"/>
        <v>660.15180000000009</v>
      </c>
      <c r="G58" s="25">
        <f t="shared" si="13"/>
        <v>470.83831432575732</v>
      </c>
      <c r="H58" s="19">
        <f t="shared" si="2"/>
        <v>34.997991156721007</v>
      </c>
      <c r="I58" s="19">
        <f t="shared" si="3"/>
        <v>21427.94006159632</v>
      </c>
      <c r="J58" s="19">
        <f t="shared" si="4"/>
        <v>1071.3970030798162</v>
      </c>
      <c r="K58" s="25">
        <f>C58*B25*B40*B58</f>
        <v>8485.4211404545658</v>
      </c>
      <c r="L58" s="25">
        <f t="shared" si="5"/>
        <v>2546.04</v>
      </c>
      <c r="M58" s="20">
        <f t="shared" si="6"/>
        <v>2546.04</v>
      </c>
      <c r="N58" s="19">
        <f t="shared" si="7"/>
        <v>12730.2</v>
      </c>
      <c r="O58" s="25">
        <f t="shared" si="8"/>
        <v>0</v>
      </c>
      <c r="P58" s="20">
        <f t="shared" si="9"/>
        <v>0</v>
      </c>
      <c r="Q58" s="19">
        <f t="shared" si="10"/>
        <v>0</v>
      </c>
      <c r="R58" s="19">
        <f t="shared" si="11"/>
        <v>35229.537064676137</v>
      </c>
    </row>
    <row r="59" spans="1:18" x14ac:dyDescent="0.3">
      <c r="A59" s="26" t="s">
        <v>388</v>
      </c>
      <c r="B59" s="25">
        <f>INDEX($I$5:$I$16, 1+MOD(15-1,12))</f>
        <v>1.5</v>
      </c>
      <c r="C59" s="20">
        <f t="shared" si="12"/>
        <v>98.996579971969936</v>
      </c>
      <c r="D59" s="25">
        <f t="shared" si="0"/>
        <v>148.4948699579549</v>
      </c>
      <c r="E59" s="25">
        <f t="shared" si="1"/>
        <v>148.4948699579549</v>
      </c>
      <c r="F59" s="25">
        <f t="shared" si="14"/>
        <v>660.15180000000009</v>
      </c>
      <c r="G59" s="25">
        <f t="shared" si="13"/>
        <v>463.76713004204515</v>
      </c>
      <c r="H59" s="19">
        <f t="shared" si="2"/>
        <v>34.890747857414198</v>
      </c>
      <c r="I59" s="19">
        <f t="shared" si="3"/>
        <v>21362.279064676135</v>
      </c>
      <c r="J59" s="19">
        <f t="shared" si="4"/>
        <v>1068.1139532338068</v>
      </c>
      <c r="K59" s="25">
        <f>C59*B25*B40*B59</f>
        <v>8909.6921974772958</v>
      </c>
      <c r="L59" s="25">
        <f t="shared" si="5"/>
        <v>2546.04</v>
      </c>
      <c r="M59" s="20">
        <f t="shared" si="6"/>
        <v>2546.04</v>
      </c>
      <c r="N59" s="19">
        <f t="shared" si="7"/>
        <v>12730.2</v>
      </c>
      <c r="O59" s="25">
        <f t="shared" si="8"/>
        <v>0</v>
      </c>
      <c r="P59" s="20">
        <f t="shared" si="9"/>
        <v>0</v>
      </c>
      <c r="Q59" s="19">
        <f t="shared" si="10"/>
        <v>0</v>
      </c>
      <c r="R59" s="19">
        <f t="shared" si="11"/>
        <v>35160.593017909938</v>
      </c>
    </row>
    <row r="60" spans="1:18" x14ac:dyDescent="0.3">
      <c r="A60" s="26" t="s">
        <v>387</v>
      </c>
      <c r="B60" s="25">
        <f>INDEX($I$5:$I$16, 1+MOD(16-1,12))</f>
        <v>1.2</v>
      </c>
      <c r="C60" s="20">
        <f t="shared" si="12"/>
        <v>103.94640897056844</v>
      </c>
      <c r="D60" s="25">
        <f t="shared" si="0"/>
        <v>124.73569076468212</v>
      </c>
      <c r="E60" s="25">
        <f t="shared" si="1"/>
        <v>124.73569076468212</v>
      </c>
      <c r="F60" s="25">
        <f t="shared" si="14"/>
        <v>528.12144000000001</v>
      </c>
      <c r="G60" s="25">
        <f t="shared" si="13"/>
        <v>487.52630923531797</v>
      </c>
      <c r="H60" s="19">
        <f t="shared" si="2"/>
        <v>35.251085343085066</v>
      </c>
      <c r="I60" s="19">
        <f t="shared" si="3"/>
        <v>21582.900014327952</v>
      </c>
      <c r="J60" s="19">
        <f t="shared" si="4"/>
        <v>1079.1450007163976</v>
      </c>
      <c r="K60" s="25">
        <f>C60*B25*B40*B60</f>
        <v>7484.1414458809277</v>
      </c>
      <c r="L60" s="25">
        <f t="shared" si="5"/>
        <v>2546.04</v>
      </c>
      <c r="M60" s="20">
        <f t="shared" si="6"/>
        <v>2546.04</v>
      </c>
      <c r="N60" s="19">
        <f t="shared" si="7"/>
        <v>12730.2</v>
      </c>
      <c r="O60" s="25">
        <f t="shared" si="8"/>
        <v>0</v>
      </c>
      <c r="P60" s="20">
        <f t="shared" si="9"/>
        <v>0</v>
      </c>
      <c r="Q60" s="19">
        <f t="shared" si="10"/>
        <v>0</v>
      </c>
      <c r="R60" s="19">
        <f t="shared" si="11"/>
        <v>35392.245015044347</v>
      </c>
    </row>
    <row r="61" spans="1:18" x14ac:dyDescent="0.3">
      <c r="A61" s="26" t="s">
        <v>386</v>
      </c>
      <c r="B61" s="25">
        <f>INDEX($I$5:$I$16, 1+MOD(17-1,12))</f>
        <v>1</v>
      </c>
      <c r="C61" s="20">
        <f t="shared" si="12"/>
        <v>109.14372941909687</v>
      </c>
      <c r="D61" s="25">
        <f t="shared" si="0"/>
        <v>109.14372941909687</v>
      </c>
      <c r="E61" s="25">
        <f t="shared" si="1"/>
        <v>109.14372941909687</v>
      </c>
      <c r="F61" s="25">
        <f t="shared" si="14"/>
        <v>440.10120000000006</v>
      </c>
      <c r="G61" s="25">
        <f t="shared" si="13"/>
        <v>440.10120000000006</v>
      </c>
      <c r="H61" s="19">
        <f t="shared" si="2"/>
        <v>35.297637582004867</v>
      </c>
      <c r="I61" s="19">
        <f t="shared" si="3"/>
        <v>19387.048462389128</v>
      </c>
      <c r="J61" s="19">
        <f t="shared" si="4"/>
        <v>969.35242311945649</v>
      </c>
      <c r="K61" s="25">
        <f>C61*B25*B40*B61</f>
        <v>6548.6237651458123</v>
      </c>
      <c r="L61" s="25">
        <f t="shared" si="5"/>
        <v>2546.04</v>
      </c>
      <c r="M61" s="20">
        <f t="shared" si="6"/>
        <v>2546.04</v>
      </c>
      <c r="N61" s="19">
        <f t="shared" si="7"/>
        <v>12730.2</v>
      </c>
      <c r="O61" s="25">
        <f t="shared" si="8"/>
        <v>0</v>
      </c>
      <c r="P61" s="20">
        <f t="shared" si="9"/>
        <v>0</v>
      </c>
      <c r="Q61" s="19">
        <f t="shared" si="10"/>
        <v>0</v>
      </c>
      <c r="R61" s="19">
        <f t="shared" si="11"/>
        <v>33086.600885508582</v>
      </c>
    </row>
    <row r="62" spans="1:18" x14ac:dyDescent="0.3">
      <c r="A62" s="26" t="s">
        <v>385</v>
      </c>
      <c r="B62" s="25">
        <f>INDEX($I$5:$I$16, 1+MOD(18-1,12))</f>
        <v>0.8</v>
      </c>
      <c r="C62" s="20">
        <f t="shared" si="12"/>
        <v>114.60091589005172</v>
      </c>
      <c r="D62" s="25">
        <f t="shared" si="0"/>
        <v>91.68073271204139</v>
      </c>
      <c r="E62" s="25">
        <f t="shared" si="1"/>
        <v>91.68073271204139</v>
      </c>
      <c r="F62" s="25">
        <f t="shared" si="14"/>
        <v>352.08096000000006</v>
      </c>
      <c r="G62" s="25">
        <f t="shared" si="13"/>
        <v>352.08096000000006</v>
      </c>
      <c r="H62" s="19">
        <f t="shared" si="2"/>
        <v>35.224437632001838</v>
      </c>
      <c r="I62" s="19">
        <f t="shared" si="3"/>
        <v>15631.256068406869</v>
      </c>
      <c r="J62" s="19">
        <f t="shared" si="4"/>
        <v>781.56280342034347</v>
      </c>
      <c r="K62" s="25">
        <f>C62*B25*B40*B62</f>
        <v>5500.8439627224834</v>
      </c>
      <c r="L62" s="25">
        <f t="shared" si="5"/>
        <v>2546.04</v>
      </c>
      <c r="M62" s="20">
        <f t="shared" si="6"/>
        <v>2546.04</v>
      </c>
      <c r="N62" s="19">
        <f t="shared" si="7"/>
        <v>12730.2</v>
      </c>
      <c r="O62" s="25">
        <f t="shared" si="8"/>
        <v>0</v>
      </c>
      <c r="P62" s="20">
        <f t="shared" si="9"/>
        <v>0</v>
      </c>
      <c r="Q62" s="19">
        <f t="shared" si="10"/>
        <v>0</v>
      </c>
      <c r="R62" s="19">
        <f t="shared" si="11"/>
        <v>29143.018871827211</v>
      </c>
    </row>
    <row r="63" spans="1:18" x14ac:dyDescent="0.3">
      <c r="A63" s="26" t="s">
        <v>384</v>
      </c>
      <c r="B63" s="25">
        <f>INDEX($I$5:$I$16, 1+MOD(19-1,12))</f>
        <v>0.8</v>
      </c>
      <c r="C63" s="20">
        <f t="shared" si="12"/>
        <v>120.33096168455431</v>
      </c>
      <c r="D63" s="25">
        <f t="shared" si="0"/>
        <v>96.264769347643451</v>
      </c>
      <c r="E63" s="25">
        <f t="shared" si="1"/>
        <v>96.264769347643451</v>
      </c>
      <c r="F63" s="25">
        <f t="shared" si="14"/>
        <v>352.08096000000006</v>
      </c>
      <c r="G63" s="25">
        <f t="shared" si="13"/>
        <v>352.08096000000006</v>
      </c>
      <c r="H63" s="19">
        <f t="shared" si="2"/>
        <v>35.149111947061392</v>
      </c>
      <c r="I63" s="19">
        <f t="shared" si="3"/>
        <v>15758.954231827209</v>
      </c>
      <c r="J63" s="19">
        <f t="shared" si="4"/>
        <v>787.94771159136053</v>
      </c>
      <c r="K63" s="25">
        <f>C63*B25*B40*B63</f>
        <v>5775.8861608586076</v>
      </c>
      <c r="L63" s="25">
        <f t="shared" si="5"/>
        <v>2546.04</v>
      </c>
      <c r="M63" s="20">
        <f t="shared" si="6"/>
        <v>2546.04</v>
      </c>
      <c r="N63" s="19">
        <f t="shared" si="7"/>
        <v>12730.2</v>
      </c>
      <c r="O63" s="25">
        <f t="shared" si="8"/>
        <v>0</v>
      </c>
      <c r="P63" s="20">
        <f t="shared" si="9"/>
        <v>0</v>
      </c>
      <c r="Q63" s="19">
        <f t="shared" si="10"/>
        <v>0</v>
      </c>
      <c r="R63" s="19">
        <f t="shared" si="11"/>
        <v>29277.101943418569</v>
      </c>
    </row>
    <row r="64" spans="1:18" x14ac:dyDescent="0.3">
      <c r="A64" s="26" t="s">
        <v>383</v>
      </c>
      <c r="B64" s="25">
        <f>INDEX($I$5:$I$16, 1+MOD(20-1,12))</f>
        <v>0.8</v>
      </c>
      <c r="C64" s="20">
        <f t="shared" si="12"/>
        <v>126.34750976878203</v>
      </c>
      <c r="D64" s="25">
        <f t="shared" si="0"/>
        <v>101.07800781502563</v>
      </c>
      <c r="E64" s="25">
        <f t="shared" si="1"/>
        <v>101.07800781502563</v>
      </c>
      <c r="F64" s="25">
        <f t="shared" si="14"/>
        <v>352.08096000000006</v>
      </c>
      <c r="G64" s="25">
        <f t="shared" si="13"/>
        <v>352.08096000000006</v>
      </c>
      <c r="H64" s="19">
        <f t="shared" si="2"/>
        <v>35.071660128562058</v>
      </c>
      <c r="I64" s="19">
        <f t="shared" si="3"/>
        <v>15893.037303418572</v>
      </c>
      <c r="J64" s="19">
        <f t="shared" si="4"/>
        <v>794.65186517092866</v>
      </c>
      <c r="K64" s="25">
        <f>C64*B25*B40*B64</f>
        <v>6064.680468901538</v>
      </c>
      <c r="L64" s="25">
        <f t="shared" si="5"/>
        <v>2546.04</v>
      </c>
      <c r="M64" s="20">
        <f t="shared" si="6"/>
        <v>2546.04</v>
      </c>
      <c r="N64" s="19">
        <f t="shared" si="7"/>
        <v>12730.2</v>
      </c>
      <c r="O64" s="25">
        <f t="shared" si="8"/>
        <v>0</v>
      </c>
      <c r="P64" s="20">
        <f t="shared" si="9"/>
        <v>0</v>
      </c>
      <c r="Q64" s="19">
        <f t="shared" si="10"/>
        <v>0</v>
      </c>
      <c r="R64" s="19">
        <f t="shared" si="11"/>
        <v>29417.889168589503</v>
      </c>
    </row>
    <row r="65" spans="1:18" x14ac:dyDescent="0.3">
      <c r="A65" s="26" t="s">
        <v>382</v>
      </c>
      <c r="B65" s="25">
        <f>INDEX($I$5:$I$16, 1+MOD(21-1,12))</f>
        <v>1</v>
      </c>
      <c r="C65" s="20">
        <f t="shared" si="12"/>
        <v>132.66488525722113</v>
      </c>
      <c r="D65" s="25">
        <f t="shared" si="0"/>
        <v>132.66488525722113</v>
      </c>
      <c r="E65" s="25">
        <f t="shared" si="1"/>
        <v>132.66488525722113</v>
      </c>
      <c r="F65" s="25">
        <f t="shared" si="14"/>
        <v>440.10120000000006</v>
      </c>
      <c r="G65" s="25">
        <f t="shared" si="13"/>
        <v>440.10120000000006</v>
      </c>
      <c r="H65" s="19">
        <f t="shared" si="2"/>
        <v>34.992086955944963</v>
      </c>
      <c r="I65" s="19">
        <f t="shared" si="3"/>
        <v>20042.280660736869</v>
      </c>
      <c r="J65" s="19">
        <f t="shared" si="4"/>
        <v>1002.1140330368435</v>
      </c>
      <c r="K65" s="25">
        <f>C65*B25*B40*B65</f>
        <v>7959.8931154332677</v>
      </c>
      <c r="L65" s="25">
        <f t="shared" si="5"/>
        <v>2546.04</v>
      </c>
      <c r="M65" s="20">
        <f t="shared" si="6"/>
        <v>2546.04</v>
      </c>
      <c r="N65" s="19">
        <f t="shared" si="7"/>
        <v>12730.2</v>
      </c>
      <c r="O65" s="25">
        <f t="shared" si="8"/>
        <v>0</v>
      </c>
      <c r="P65" s="20">
        <f t="shared" si="9"/>
        <v>0</v>
      </c>
      <c r="Q65" s="19">
        <f t="shared" si="10"/>
        <v>0</v>
      </c>
      <c r="R65" s="19">
        <f t="shared" si="11"/>
        <v>33774.594693773717</v>
      </c>
    </row>
    <row r="66" spans="1:18" x14ac:dyDescent="0.3">
      <c r="A66" s="26" t="s">
        <v>381</v>
      </c>
      <c r="B66" s="25">
        <f>INDEX($I$5:$I$16, 1+MOD(22-1,12))</f>
        <v>1.2</v>
      </c>
      <c r="C66" s="20">
        <f t="shared" si="12"/>
        <v>139.2981295200822</v>
      </c>
      <c r="D66" s="25">
        <f t="shared" si="0"/>
        <v>167.15775542409864</v>
      </c>
      <c r="E66" s="25">
        <f t="shared" si="1"/>
        <v>167.15775542409864</v>
      </c>
      <c r="F66" s="25">
        <f t="shared" si="14"/>
        <v>528.12144000000001</v>
      </c>
      <c r="G66" s="25">
        <f t="shared" si="13"/>
        <v>445.10424457590142</v>
      </c>
      <c r="H66" s="19">
        <f t="shared" si="2"/>
        <v>34.607702000925279</v>
      </c>
      <c r="I66" s="19">
        <f t="shared" si="3"/>
        <v>21188.980842490517</v>
      </c>
      <c r="J66" s="19">
        <f t="shared" si="4"/>
        <v>1059.4490421245259</v>
      </c>
      <c r="K66" s="25">
        <f>C66*B25*B40*B66</f>
        <v>10029.465325445919</v>
      </c>
      <c r="L66" s="25">
        <f t="shared" si="5"/>
        <v>2546.04</v>
      </c>
      <c r="M66" s="20">
        <f t="shared" si="6"/>
        <v>2546.04</v>
      </c>
      <c r="N66" s="19">
        <f t="shared" si="7"/>
        <v>12730.2</v>
      </c>
      <c r="O66" s="25">
        <f t="shared" si="8"/>
        <v>0</v>
      </c>
      <c r="P66" s="20">
        <f t="shared" si="9"/>
        <v>0</v>
      </c>
      <c r="Q66" s="19">
        <f t="shared" si="10"/>
        <v>0</v>
      </c>
      <c r="R66" s="19">
        <f t="shared" si="11"/>
        <v>34978.629884615046</v>
      </c>
    </row>
    <row r="67" spans="1:18" x14ac:dyDescent="0.3">
      <c r="A67" s="26" t="s">
        <v>380</v>
      </c>
      <c r="B67" s="25">
        <f>INDEX($I$5:$I$16, 1+MOD(23-1,12))</f>
        <v>1.5</v>
      </c>
      <c r="C67" s="20">
        <f t="shared" si="12"/>
        <v>146.2630359960863</v>
      </c>
      <c r="D67" s="25">
        <f t="shared" si="0"/>
        <v>219.39455399412947</v>
      </c>
      <c r="E67" s="25">
        <f t="shared" si="1"/>
        <v>219.39455399412947</v>
      </c>
      <c r="F67" s="25">
        <f t="shared" si="14"/>
        <v>660.15180000000009</v>
      </c>
      <c r="G67" s="25">
        <f t="shared" si="13"/>
        <v>392.86744600587059</v>
      </c>
      <c r="H67" s="19">
        <f t="shared" si="2"/>
        <v>33.815466019071565</v>
      </c>
      <c r="I67" s="19">
        <f t="shared" si="3"/>
        <v>20703.924855768797</v>
      </c>
      <c r="J67" s="19">
        <f t="shared" si="4"/>
        <v>1035.1962427884398</v>
      </c>
      <c r="K67" s="25">
        <f>C67*B25*B40*B67</f>
        <v>13163.673239647767</v>
      </c>
      <c r="L67" s="25">
        <f t="shared" si="5"/>
        <v>2546.04</v>
      </c>
      <c r="M67" s="20">
        <f t="shared" si="6"/>
        <v>2546.04</v>
      </c>
      <c r="N67" s="19">
        <f t="shared" si="7"/>
        <v>12730.2</v>
      </c>
      <c r="O67" s="25">
        <f t="shared" si="8"/>
        <v>0</v>
      </c>
      <c r="P67" s="20">
        <f t="shared" si="9"/>
        <v>0</v>
      </c>
      <c r="Q67" s="19">
        <f t="shared" si="10"/>
        <v>0</v>
      </c>
      <c r="R67" s="19">
        <f t="shared" si="11"/>
        <v>34469.321098557237</v>
      </c>
    </row>
    <row r="68" spans="1:18" x14ac:dyDescent="0.3">
      <c r="A68" s="26" t="s">
        <v>379</v>
      </c>
      <c r="B68" s="25">
        <f>INDEX($I$5:$I$16, 1+MOD(24-1,12))</f>
        <v>2</v>
      </c>
      <c r="C68" s="20">
        <f t="shared" si="12"/>
        <v>153.57618779589063</v>
      </c>
      <c r="D68" s="25">
        <f t="shared" si="0"/>
        <v>307.15237559178127</v>
      </c>
      <c r="E68" s="25">
        <f t="shared" si="1"/>
        <v>307.15237559178127</v>
      </c>
      <c r="F68" s="25">
        <f t="shared" si="14"/>
        <v>880.20240000000013</v>
      </c>
      <c r="G68" s="25">
        <f t="shared" si="13"/>
        <v>305.10962440821879</v>
      </c>
      <c r="H68" s="19">
        <f t="shared" si="2"/>
        <v>32.484509569557339</v>
      </c>
      <c r="I68" s="19">
        <f t="shared" si="3"/>
        <v>19889.030798076317</v>
      </c>
      <c r="J68" s="19">
        <f t="shared" si="4"/>
        <v>994.45153990381596</v>
      </c>
      <c r="K68" s="25">
        <f>C68*B25*B40*B68</f>
        <v>18429.142535506875</v>
      </c>
      <c r="L68" s="25">
        <f t="shared" si="5"/>
        <v>2546.04</v>
      </c>
      <c r="M68" s="20">
        <f t="shared" si="6"/>
        <v>2546.04</v>
      </c>
      <c r="N68" s="19">
        <f t="shared" si="7"/>
        <v>12730.2</v>
      </c>
      <c r="O68" s="25">
        <f t="shared" si="8"/>
        <v>0</v>
      </c>
      <c r="P68" s="20">
        <f t="shared" si="9"/>
        <v>0</v>
      </c>
      <c r="Q68" s="19">
        <f t="shared" si="10"/>
        <v>0</v>
      </c>
      <c r="R68" s="19">
        <f t="shared" si="11"/>
        <v>33613.682337980135</v>
      </c>
    </row>
    <row r="69" spans="1:18" x14ac:dyDescent="0.3">
      <c r="A69" s="26" t="s">
        <v>378</v>
      </c>
      <c r="B69" s="25">
        <f>INDEX($I$5:$I$16, 1+MOD(25-1,12))</f>
        <v>2</v>
      </c>
      <c r="C69" s="20">
        <f t="shared" si="12"/>
        <v>161.25499718568517</v>
      </c>
      <c r="D69" s="25">
        <f t="shared" si="0"/>
        <v>322.50999437137034</v>
      </c>
      <c r="E69" s="25">
        <f t="shared" si="1"/>
        <v>322.50999437137034</v>
      </c>
      <c r="F69" s="25">
        <f t="shared" si="14"/>
        <v>880.20240000000013</v>
      </c>
      <c r="G69" s="25">
        <f t="shared" si="13"/>
        <v>289.75200562862972</v>
      </c>
      <c r="H69" s="19">
        <f t="shared" si="2"/>
        <v>32.251592190892353</v>
      </c>
      <c r="I69" s="19">
        <f t="shared" si="3"/>
        <v>19746.424337980137</v>
      </c>
      <c r="J69" s="19">
        <f t="shared" si="4"/>
        <v>987.32121689900691</v>
      </c>
      <c r="K69" s="25">
        <f>C69*B25*B40*B69</f>
        <v>19350.59966228222</v>
      </c>
      <c r="L69" s="25">
        <f t="shared" si="5"/>
        <v>2546.04</v>
      </c>
      <c r="M69" s="20">
        <f t="shared" si="6"/>
        <v>2546.04</v>
      </c>
      <c r="N69" s="19">
        <f t="shared" si="7"/>
        <v>12730.2</v>
      </c>
      <c r="O69" s="25">
        <f t="shared" si="8"/>
        <v>0</v>
      </c>
      <c r="P69" s="20">
        <f t="shared" si="9"/>
        <v>0</v>
      </c>
      <c r="Q69" s="19">
        <f t="shared" si="10"/>
        <v>0</v>
      </c>
      <c r="R69" s="19">
        <f t="shared" si="11"/>
        <v>33463.945554879145</v>
      </c>
    </row>
    <row r="70" spans="1:18" x14ac:dyDescent="0.3">
      <c r="A70" s="26" t="s">
        <v>377</v>
      </c>
      <c r="B70" s="25">
        <f>INDEX($I$5:$I$16, 1+MOD(26-1,12))</f>
        <v>1.5</v>
      </c>
      <c r="C70" s="20">
        <f t="shared" si="12"/>
        <v>169.31774704496942</v>
      </c>
      <c r="D70" s="25">
        <f t="shared" si="0"/>
        <v>253.97662056745412</v>
      </c>
      <c r="E70" s="25">
        <f t="shared" si="1"/>
        <v>253.97662056745412</v>
      </c>
      <c r="F70" s="25">
        <f t="shared" si="14"/>
        <v>660.15180000000009</v>
      </c>
      <c r="G70" s="25">
        <f t="shared" si="13"/>
        <v>358.28537943254594</v>
      </c>
      <c r="H70" s="19">
        <f t="shared" si="2"/>
        <v>33.290985993184869</v>
      </c>
      <c r="I70" s="19">
        <f t="shared" si="3"/>
        <v>20382.805666159355</v>
      </c>
      <c r="J70" s="19">
        <f t="shared" si="4"/>
        <v>1019.1402833079678</v>
      </c>
      <c r="K70" s="25">
        <f>C70*B25*B40*B70</f>
        <v>15238.597234047247</v>
      </c>
      <c r="L70" s="25">
        <f t="shared" si="5"/>
        <v>2546.04</v>
      </c>
      <c r="M70" s="20">
        <f t="shared" si="6"/>
        <v>2546.04</v>
      </c>
      <c r="N70" s="19">
        <f t="shared" si="7"/>
        <v>12730.2</v>
      </c>
      <c r="O70" s="25">
        <f t="shared" si="8"/>
        <v>0</v>
      </c>
      <c r="P70" s="20">
        <f t="shared" si="9"/>
        <v>0</v>
      </c>
      <c r="Q70" s="19">
        <f t="shared" si="10"/>
        <v>0</v>
      </c>
      <c r="R70" s="19">
        <f t="shared" si="11"/>
        <v>34132.145949467318</v>
      </c>
    </row>
    <row r="71" spans="1:18" x14ac:dyDescent="0.3">
      <c r="A71" s="26" t="s">
        <v>376</v>
      </c>
      <c r="B71" s="25">
        <f>INDEX($I$5:$I$16, 1+MOD(27-1,12))</f>
        <v>1.5</v>
      </c>
      <c r="C71" s="20">
        <f t="shared" si="12"/>
        <v>177.7836343972179</v>
      </c>
      <c r="D71" s="25">
        <f t="shared" si="0"/>
        <v>266.67545159582687</v>
      </c>
      <c r="E71" s="25">
        <f t="shared" si="1"/>
        <v>266.67545159582687</v>
      </c>
      <c r="F71" s="25">
        <f t="shared" si="14"/>
        <v>660.15180000000009</v>
      </c>
      <c r="G71" s="25">
        <f t="shared" si="13"/>
        <v>345.58654840417319</v>
      </c>
      <c r="H71" s="19">
        <f t="shared" si="2"/>
        <v>33.098392435701257</v>
      </c>
      <c r="I71" s="19">
        <f t="shared" si="3"/>
        <v>20264.887949467324</v>
      </c>
      <c r="J71" s="19">
        <f t="shared" si="4"/>
        <v>1013.2443974733662</v>
      </c>
      <c r="K71" s="25">
        <f>C71*B25*B40*B71</f>
        <v>16000.52709574961</v>
      </c>
      <c r="L71" s="25">
        <f t="shared" si="5"/>
        <v>2546.04</v>
      </c>
      <c r="M71" s="20">
        <f t="shared" si="6"/>
        <v>2546.04</v>
      </c>
      <c r="N71" s="19">
        <f t="shared" si="7"/>
        <v>12730.2</v>
      </c>
      <c r="O71" s="25">
        <f t="shared" si="8"/>
        <v>0</v>
      </c>
      <c r="P71" s="20">
        <f t="shared" si="9"/>
        <v>0</v>
      </c>
      <c r="Q71" s="19">
        <f t="shared" si="10"/>
        <v>0</v>
      </c>
      <c r="R71" s="19">
        <f t="shared" si="11"/>
        <v>34008.33234694069</v>
      </c>
    </row>
    <row r="72" spans="1:18" x14ac:dyDescent="0.3">
      <c r="A72" s="26" t="s">
        <v>375</v>
      </c>
      <c r="B72" s="25">
        <f>INDEX($I$5:$I$16, 1+MOD(28-1,12))</f>
        <v>1.2</v>
      </c>
      <c r="C72" s="20">
        <f t="shared" si="12"/>
        <v>186.67281611707881</v>
      </c>
      <c r="D72" s="25">
        <f t="shared" si="0"/>
        <v>224.00737934049457</v>
      </c>
      <c r="E72" s="25">
        <f t="shared" si="1"/>
        <v>224.00737934049457</v>
      </c>
      <c r="F72" s="25">
        <f t="shared" si="14"/>
        <v>528.12144000000001</v>
      </c>
      <c r="G72" s="25">
        <f t="shared" si="13"/>
        <v>388.25462065950546</v>
      </c>
      <c r="H72" s="19">
        <f t="shared" si="2"/>
        <v>33.745506788846193</v>
      </c>
      <c r="I72" s="19">
        <f t="shared" si="3"/>
        <v>20661.091477552549</v>
      </c>
      <c r="J72" s="19">
        <f t="shared" si="4"/>
        <v>1033.0545738776275</v>
      </c>
      <c r="K72" s="25">
        <f>C72*B25*B40*B72</f>
        <v>13440.442760429674</v>
      </c>
      <c r="L72" s="25">
        <f t="shared" si="5"/>
        <v>2546.04</v>
      </c>
      <c r="M72" s="20">
        <f t="shared" si="6"/>
        <v>2546.04</v>
      </c>
      <c r="N72" s="19">
        <f t="shared" si="7"/>
        <v>12730.2</v>
      </c>
      <c r="O72" s="25">
        <f t="shared" si="8"/>
        <v>0</v>
      </c>
      <c r="P72" s="20">
        <f t="shared" si="9"/>
        <v>0</v>
      </c>
      <c r="Q72" s="19">
        <f t="shared" si="10"/>
        <v>0</v>
      </c>
      <c r="R72" s="19">
        <f t="shared" si="11"/>
        <v>34424.346051430177</v>
      </c>
    </row>
    <row r="73" spans="1:18" x14ac:dyDescent="0.3">
      <c r="A73" s="26" t="s">
        <v>374</v>
      </c>
      <c r="B73" s="25">
        <f>INDEX($I$5:$I$16, 1+MOD(29-1,12))</f>
        <v>1</v>
      </c>
      <c r="C73" s="20">
        <f t="shared" si="12"/>
        <v>196.00645692293276</v>
      </c>
      <c r="D73" s="25">
        <f t="shared" si="0"/>
        <v>196.00645692293276</v>
      </c>
      <c r="E73" s="25">
        <f t="shared" si="1"/>
        <v>196.00645692293276</v>
      </c>
      <c r="F73" s="25">
        <f t="shared" si="14"/>
        <v>440.10120000000006</v>
      </c>
      <c r="G73" s="25">
        <f t="shared" si="13"/>
        <v>416.25554307706727</v>
      </c>
      <c r="H73" s="19">
        <f t="shared" si="2"/>
        <v>34.17017558309756</v>
      </c>
      <c r="I73" s="19">
        <f t="shared" si="3"/>
        <v>20921.100042858481</v>
      </c>
      <c r="J73" s="19">
        <f t="shared" si="4"/>
        <v>1046.0550021429242</v>
      </c>
      <c r="K73" s="25">
        <f>C73*B25*B40*B73</f>
        <v>11760.387415375966</v>
      </c>
      <c r="L73" s="25">
        <f t="shared" si="5"/>
        <v>2546.04</v>
      </c>
      <c r="M73" s="20">
        <f t="shared" si="6"/>
        <v>2546.04</v>
      </c>
      <c r="N73" s="19">
        <f t="shared" si="7"/>
        <v>12730.2</v>
      </c>
      <c r="O73" s="25">
        <f t="shared" si="8"/>
        <v>0</v>
      </c>
      <c r="P73" s="20">
        <f t="shared" si="9"/>
        <v>0</v>
      </c>
      <c r="Q73" s="19">
        <f t="shared" si="10"/>
        <v>0</v>
      </c>
      <c r="R73" s="19">
        <f t="shared" si="11"/>
        <v>34697.355045001401</v>
      </c>
    </row>
    <row r="74" spans="1:18" x14ac:dyDescent="0.3">
      <c r="A74" s="26" t="s">
        <v>373</v>
      </c>
      <c r="B74" s="25">
        <f>INDEX($I$5:$I$16, 1+MOD(30-1,12))</f>
        <v>0.8</v>
      </c>
      <c r="C74" s="20">
        <f t="shared" si="12"/>
        <v>205.80677976907941</v>
      </c>
      <c r="D74" s="25">
        <f t="shared" si="0"/>
        <v>164.64542381526354</v>
      </c>
      <c r="E74" s="25">
        <f t="shared" si="1"/>
        <v>164.64542381526354</v>
      </c>
      <c r="F74" s="25">
        <f t="shared" si="14"/>
        <v>352.08096000000006</v>
      </c>
      <c r="G74" s="25">
        <f t="shared" si="13"/>
        <v>352.08096000000006</v>
      </c>
      <c r="H74" s="19">
        <f t="shared" si="2"/>
        <v>34.184133896115668</v>
      </c>
      <c r="I74" s="19">
        <f t="shared" si="3"/>
        <v>17663.843891996628</v>
      </c>
      <c r="J74" s="19">
        <f t="shared" si="4"/>
        <v>883.19219459983151</v>
      </c>
      <c r="K74" s="25">
        <f>C74*B25*B40*B74</f>
        <v>9878.7254289158136</v>
      </c>
      <c r="L74" s="25">
        <f t="shared" si="5"/>
        <v>2546.04</v>
      </c>
      <c r="M74" s="20">
        <f t="shared" si="6"/>
        <v>2546.04</v>
      </c>
      <c r="N74" s="19">
        <f t="shared" si="7"/>
        <v>12730.2</v>
      </c>
      <c r="O74" s="25">
        <f t="shared" si="8"/>
        <v>0</v>
      </c>
      <c r="P74" s="20">
        <f t="shared" si="9"/>
        <v>0</v>
      </c>
      <c r="Q74" s="19">
        <f t="shared" si="10"/>
        <v>0</v>
      </c>
      <c r="R74" s="19">
        <f t="shared" si="11"/>
        <v>31277.236086596462</v>
      </c>
    </row>
    <row r="75" spans="1:18" x14ac:dyDescent="0.3">
      <c r="A75" s="26" t="s">
        <v>372</v>
      </c>
      <c r="B75" s="25">
        <f>INDEX($I$5:$I$16, 1+MOD(31-1,12))</f>
        <v>0.8</v>
      </c>
      <c r="C75" s="20">
        <f t="shared" si="12"/>
        <v>216.09711875753339</v>
      </c>
      <c r="D75" s="25">
        <f t="shared" si="0"/>
        <v>172.87769500602673</v>
      </c>
      <c r="E75" s="25">
        <f t="shared" si="1"/>
        <v>172.87769500602673</v>
      </c>
      <c r="F75" s="25">
        <f t="shared" si="14"/>
        <v>352.08096000000006</v>
      </c>
      <c r="G75" s="25">
        <f t="shared" si="13"/>
        <v>352.08096000000006</v>
      </c>
      <c r="H75" s="19">
        <f t="shared" si="2"/>
        <v>34.084915594716769</v>
      </c>
      <c r="I75" s="19">
        <f t="shared" si="3"/>
        <v>17893.171446596461</v>
      </c>
      <c r="J75" s="19">
        <f t="shared" si="4"/>
        <v>894.65857232982307</v>
      </c>
      <c r="K75" s="25">
        <f>C75*B25*B40*B75</f>
        <v>10372.661700361605</v>
      </c>
      <c r="L75" s="25">
        <f t="shared" si="5"/>
        <v>2546.04</v>
      </c>
      <c r="M75" s="20">
        <f t="shared" si="6"/>
        <v>2546.04</v>
      </c>
      <c r="N75" s="19">
        <f t="shared" si="7"/>
        <v>12730.2</v>
      </c>
      <c r="O75" s="25">
        <f t="shared" si="8"/>
        <v>0</v>
      </c>
      <c r="P75" s="20">
        <f t="shared" si="9"/>
        <v>0</v>
      </c>
      <c r="Q75" s="19">
        <f t="shared" si="10"/>
        <v>0</v>
      </c>
      <c r="R75" s="19">
        <f t="shared" si="11"/>
        <v>31518.030018926285</v>
      </c>
    </row>
    <row r="76" spans="1:18" x14ac:dyDescent="0.3">
      <c r="A76" s="26" t="s">
        <v>371</v>
      </c>
      <c r="B76" s="25">
        <f>INDEX($I$5:$I$16, 1+MOD(32-1,12))</f>
        <v>0.8</v>
      </c>
      <c r="C76" s="20">
        <f t="shared" si="12"/>
        <v>226.90197469541008</v>
      </c>
      <c r="D76" s="25">
        <f t="shared" si="0"/>
        <v>181.52157975632807</v>
      </c>
      <c r="E76" s="25">
        <f t="shared" si="1"/>
        <v>181.52157975632807</v>
      </c>
      <c r="F76" s="25">
        <f t="shared" si="14"/>
        <v>352.08096000000006</v>
      </c>
      <c r="G76" s="25">
        <f t="shared" si="13"/>
        <v>352.08096000000006</v>
      </c>
      <c r="H76" s="19">
        <f t="shared" si="2"/>
        <v>33.984031236446576</v>
      </c>
      <c r="I76" s="19">
        <f t="shared" si="3"/>
        <v>18133.965378926281</v>
      </c>
      <c r="J76" s="19">
        <f t="shared" si="4"/>
        <v>906.6982689463141</v>
      </c>
      <c r="K76" s="25">
        <f>C76*B25*B40*B76</f>
        <v>10891.294785379685</v>
      </c>
      <c r="L76" s="25">
        <f t="shared" si="5"/>
        <v>2546.04</v>
      </c>
      <c r="M76" s="20">
        <f t="shared" si="6"/>
        <v>2546.04</v>
      </c>
      <c r="N76" s="19">
        <f t="shared" si="7"/>
        <v>12730.2</v>
      </c>
      <c r="O76" s="25">
        <f t="shared" si="8"/>
        <v>0</v>
      </c>
      <c r="P76" s="20">
        <f t="shared" si="9"/>
        <v>0</v>
      </c>
      <c r="Q76" s="19">
        <f t="shared" si="10"/>
        <v>0</v>
      </c>
      <c r="R76" s="19">
        <f t="shared" si="11"/>
        <v>31770.863647872597</v>
      </c>
    </row>
    <row r="77" spans="1:18" x14ac:dyDescent="0.3">
      <c r="A77" s="26" t="s">
        <v>370</v>
      </c>
      <c r="B77" s="25">
        <f>INDEX($I$5:$I$16, 1+MOD(33-1,12))</f>
        <v>1</v>
      </c>
      <c r="C77" s="20">
        <f t="shared" si="12"/>
        <v>238.24707343018059</v>
      </c>
      <c r="D77" s="25">
        <f t="shared" si="0"/>
        <v>238.24707343018059</v>
      </c>
      <c r="E77" s="25">
        <f t="shared" si="1"/>
        <v>238.24707343018059</v>
      </c>
      <c r="F77" s="25">
        <f t="shared" si="14"/>
        <v>440.10120000000006</v>
      </c>
      <c r="G77" s="25">
        <f t="shared" si="13"/>
        <v>374.01492656981947</v>
      </c>
      <c r="H77" s="19">
        <f t="shared" si="2"/>
        <v>33.529544127709627</v>
      </c>
      <c r="I77" s="19">
        <f t="shared" si="3"/>
        <v>20528.865746719755</v>
      </c>
      <c r="J77" s="19">
        <f t="shared" si="4"/>
        <v>1026.4432873359879</v>
      </c>
      <c r="K77" s="25">
        <f>C77*B25*B40*B77</f>
        <v>14294.824405810836</v>
      </c>
      <c r="L77" s="25">
        <f t="shared" si="5"/>
        <v>2546.04</v>
      </c>
      <c r="M77" s="20">
        <f t="shared" si="6"/>
        <v>2546.04</v>
      </c>
      <c r="N77" s="19">
        <f t="shared" si="7"/>
        <v>12730.2</v>
      </c>
      <c r="O77" s="25">
        <f t="shared" si="8"/>
        <v>0</v>
      </c>
      <c r="P77" s="20">
        <f t="shared" si="9"/>
        <v>0</v>
      </c>
      <c r="Q77" s="19">
        <f t="shared" si="10"/>
        <v>0</v>
      </c>
      <c r="R77" s="19">
        <f t="shared" si="11"/>
        <v>34285.509034055744</v>
      </c>
    </row>
    <row r="78" spans="1:18" x14ac:dyDescent="0.3">
      <c r="A78" s="26" t="s">
        <v>369</v>
      </c>
      <c r="B78" s="25">
        <f>INDEX($I$5:$I$16, 1+MOD(34-1,12))</f>
        <v>1.2</v>
      </c>
      <c r="C78" s="20">
        <f t="shared" si="12"/>
        <v>250.15942710168963</v>
      </c>
      <c r="D78" s="25">
        <f t="shared" si="0"/>
        <v>300.19131252202754</v>
      </c>
      <c r="E78" s="25">
        <f t="shared" si="1"/>
        <v>300.19131252202754</v>
      </c>
      <c r="F78" s="25">
        <f t="shared" si="14"/>
        <v>528.12144000000001</v>
      </c>
      <c r="G78" s="25">
        <f t="shared" si="13"/>
        <v>312.07068747797251</v>
      </c>
      <c r="H78" s="19">
        <f t="shared" si="2"/>
        <v>32.590082743771276</v>
      </c>
      <c r="I78" s="19">
        <f t="shared" si="3"/>
        <v>19953.66924086689</v>
      </c>
      <c r="J78" s="19">
        <f t="shared" si="4"/>
        <v>997.68346204334455</v>
      </c>
      <c r="K78" s="25">
        <f>C78*B25*B40*B78</f>
        <v>18011.478751321651</v>
      </c>
      <c r="L78" s="25">
        <f t="shared" si="5"/>
        <v>2546.04</v>
      </c>
      <c r="M78" s="20">
        <f t="shared" si="6"/>
        <v>2546.04</v>
      </c>
      <c r="N78" s="19">
        <f t="shared" si="7"/>
        <v>12730.2</v>
      </c>
      <c r="O78" s="25">
        <f t="shared" si="8"/>
        <v>0</v>
      </c>
      <c r="P78" s="20">
        <f t="shared" si="9"/>
        <v>0</v>
      </c>
      <c r="Q78" s="19">
        <f t="shared" si="10"/>
        <v>0</v>
      </c>
      <c r="R78" s="19">
        <f t="shared" si="11"/>
        <v>33681.552702910238</v>
      </c>
    </row>
    <row r="79" spans="1:18" x14ac:dyDescent="0.3">
      <c r="A79" s="26" t="s">
        <v>368</v>
      </c>
      <c r="B79" s="25">
        <f>INDEX($I$5:$I$16, 1+MOD(35-1,12))</f>
        <v>1.5</v>
      </c>
      <c r="C79" s="20">
        <f t="shared" si="12"/>
        <v>262.66739845677409</v>
      </c>
      <c r="D79" s="25">
        <f t="shared" si="0"/>
        <v>394.00109768516114</v>
      </c>
      <c r="E79" s="25">
        <f t="shared" si="1"/>
        <v>394.00109768516114</v>
      </c>
      <c r="F79" s="25">
        <f t="shared" si="14"/>
        <v>660.15180000000009</v>
      </c>
      <c r="G79" s="25">
        <f t="shared" si="13"/>
        <v>218.26090231483892</v>
      </c>
      <c r="H79" s="19">
        <f t="shared" si="2"/>
        <v>31.167340744056936</v>
      </c>
      <c r="I79" s="19">
        <f t="shared" si="3"/>
        <v>19082.578378637791</v>
      </c>
      <c r="J79" s="19">
        <f t="shared" si="4"/>
        <v>954.12891893188953</v>
      </c>
      <c r="K79" s="25">
        <f>C79*B25*B40*B79</f>
        <v>23640.065861109666</v>
      </c>
      <c r="L79" s="25">
        <f t="shared" si="5"/>
        <v>2546.04</v>
      </c>
      <c r="M79" s="20">
        <f t="shared" si="6"/>
        <v>2546.04</v>
      </c>
      <c r="N79" s="19">
        <f t="shared" si="7"/>
        <v>12730.2</v>
      </c>
      <c r="O79" s="25">
        <f t="shared" si="8"/>
        <v>0</v>
      </c>
      <c r="P79" s="20">
        <f t="shared" si="9"/>
        <v>0</v>
      </c>
      <c r="Q79" s="19">
        <f t="shared" si="10"/>
        <v>0</v>
      </c>
      <c r="R79" s="19">
        <f t="shared" si="11"/>
        <v>32766.90729756968</v>
      </c>
    </row>
    <row r="80" spans="1:18" x14ac:dyDescent="0.3">
      <c r="A80" s="26" t="s">
        <v>367</v>
      </c>
      <c r="B80" s="25">
        <f>INDEX($I$5:$I$16, 1+MOD(36-1,12))</f>
        <v>2</v>
      </c>
      <c r="C80" s="20">
        <f t="shared" si="12"/>
        <v>275.8007683796128</v>
      </c>
      <c r="D80" s="25">
        <f t="shared" si="0"/>
        <v>551.60153675922561</v>
      </c>
      <c r="E80" s="25">
        <f t="shared" si="1"/>
        <v>551.60153675922561</v>
      </c>
      <c r="F80" s="25">
        <f t="shared" si="14"/>
        <v>880.20240000000013</v>
      </c>
      <c r="G80" s="25">
        <f t="shared" si="13"/>
        <v>60.660463240774448</v>
      </c>
      <c r="H80" s="19">
        <f t="shared" si="2"/>
        <v>28.777134184536852</v>
      </c>
      <c r="I80" s="19">
        <f t="shared" si="3"/>
        <v>17619.145730092903</v>
      </c>
      <c r="J80" s="19">
        <f t="shared" si="4"/>
        <v>880.95728650464525</v>
      </c>
      <c r="K80" s="25">
        <f>C80*B25*B40*B80</f>
        <v>33096.092205553534</v>
      </c>
      <c r="L80" s="25">
        <f t="shared" si="5"/>
        <v>2546.04</v>
      </c>
      <c r="M80" s="20">
        <f t="shared" si="6"/>
        <v>2546.04</v>
      </c>
      <c r="N80" s="19">
        <f t="shared" si="7"/>
        <v>12730.2</v>
      </c>
      <c r="O80" s="25">
        <f t="shared" si="8"/>
        <v>0</v>
      </c>
      <c r="P80" s="20">
        <f t="shared" si="9"/>
        <v>0</v>
      </c>
      <c r="Q80" s="19">
        <f t="shared" si="10"/>
        <v>0</v>
      </c>
      <c r="R80" s="19">
        <f t="shared" si="11"/>
        <v>31230.303016597551</v>
      </c>
    </row>
    <row r="81" spans="1:18" x14ac:dyDescent="0.3">
      <c r="A81" s="26" t="s">
        <v>461</v>
      </c>
      <c r="B81" s="25">
        <f>INDEX($I$5:$I$16, 1+MOD(2-1,12))</f>
        <v>1.5</v>
      </c>
      <c r="C81" s="20">
        <f t="shared" si="12"/>
        <v>289.59080679859346</v>
      </c>
      <c r="D81" s="25">
        <f t="shared" si="0"/>
        <v>434.38621019789019</v>
      </c>
      <c r="E81" s="25">
        <f t="shared" si="1"/>
        <v>434.38621019789019</v>
      </c>
      <c r="F81" s="25">
        <f t="shared" si="14"/>
        <v>660.15180000000009</v>
      </c>
      <c r="G81" s="25">
        <f t="shared" si="13"/>
        <v>177.87578980210986</v>
      </c>
      <c r="H81" s="19">
        <f t="shared" si="2"/>
        <v>30.554850313179916</v>
      </c>
      <c r="I81" s="19">
        <f t="shared" si="3"/>
        <v>18707.573762448163</v>
      </c>
      <c r="J81" s="19">
        <f t="shared" si="4"/>
        <v>935.37868812240822</v>
      </c>
      <c r="K81" s="25">
        <f>C81*$B$26*$B$40*B81</f>
        <v>5212.6345223746821</v>
      </c>
      <c r="L81" s="25">
        <f t="shared" si="5"/>
        <v>2546.04</v>
      </c>
      <c r="M81" s="20">
        <f t="shared" si="6"/>
        <v>2546.04</v>
      </c>
      <c r="N81" s="19">
        <f t="shared" si="7"/>
        <v>12730.2</v>
      </c>
      <c r="O81" s="25">
        <f t="shared" si="8"/>
        <v>0</v>
      </c>
      <c r="P81" s="20">
        <f t="shared" si="9"/>
        <v>0</v>
      </c>
      <c r="Q81" s="19">
        <f t="shared" si="10"/>
        <v>0</v>
      </c>
      <c r="R81" s="19">
        <f t="shared" si="11"/>
        <v>32373.152450570571</v>
      </c>
    </row>
    <row r="82" spans="1:18" x14ac:dyDescent="0.3">
      <c r="A82" s="26" t="s">
        <v>462</v>
      </c>
      <c r="B82" s="25">
        <f>INDEX($I$5:$I$16, 1+MOD(3-1,12))</f>
        <v>1.5</v>
      </c>
      <c r="C82" s="20">
        <f t="shared" si="12"/>
        <v>304.07034713852318</v>
      </c>
      <c r="D82" s="25">
        <f t="shared" si="0"/>
        <v>456.10552070778476</v>
      </c>
      <c r="E82" s="25">
        <f t="shared" si="1"/>
        <v>456.10552070778476</v>
      </c>
      <c r="F82" s="25">
        <f t="shared" si="14"/>
        <v>660.15180000000009</v>
      </c>
      <c r="G82" s="25">
        <f t="shared" si="13"/>
        <v>156.15647929221529</v>
      </c>
      <c r="H82" s="19">
        <f t="shared" si="2"/>
        <v>30.225449971696051</v>
      </c>
      <c r="I82" s="19">
        <f t="shared" si="3"/>
        <v>18505.894450570569</v>
      </c>
      <c r="J82" s="19">
        <f t="shared" si="4"/>
        <v>925.2947225285285</v>
      </c>
      <c r="K82" s="25">
        <f>C82*B60*B75*B82</f>
        <v>437.86129987947339</v>
      </c>
      <c r="L82" s="25">
        <f t="shared" si="5"/>
        <v>437.86129987947339</v>
      </c>
      <c r="M82" s="20">
        <f t="shared" si="6"/>
        <v>437.86129987947339</v>
      </c>
      <c r="N82" s="19">
        <f t="shared" si="7"/>
        <v>2189.3064993973671</v>
      </c>
      <c r="O82" s="25">
        <f t="shared" si="8"/>
        <v>2108.1787001205266</v>
      </c>
      <c r="P82" s="20">
        <f t="shared" si="9"/>
        <v>2108.1787001205266</v>
      </c>
      <c r="Q82" s="19">
        <f t="shared" si="10"/>
        <v>16865.429600964213</v>
      </c>
      <c r="R82" s="19">
        <f t="shared" si="11"/>
        <v>38485.925273460678</v>
      </c>
    </row>
    <row r="83" spans="1:18" x14ac:dyDescent="0.3">
      <c r="A83" s="26" t="s">
        <v>463</v>
      </c>
      <c r="B83" s="25">
        <f>INDEX($I$5:$I$16, 1+MOD(4-1,12))</f>
        <v>1.2</v>
      </c>
      <c r="C83" s="20">
        <f t="shared" si="12"/>
        <v>319.27386449544935</v>
      </c>
      <c r="D83" s="25">
        <f t="shared" si="0"/>
        <v>383.12863739453923</v>
      </c>
      <c r="E83" s="25">
        <f t="shared" si="1"/>
        <v>383.12863739453923</v>
      </c>
      <c r="F83" s="25">
        <f t="shared" si="14"/>
        <v>528.12144000000001</v>
      </c>
      <c r="G83" s="25">
        <f t="shared" si="13"/>
        <v>229.13336260546083</v>
      </c>
      <c r="H83" s="19">
        <f t="shared" si="2"/>
        <v>31.332235119081826</v>
      </c>
      <c r="I83" s="19">
        <f t="shared" si="3"/>
        <v>19183.536938479279</v>
      </c>
      <c r="J83" s="19">
        <f t="shared" si="4"/>
        <v>959.17684692396404</v>
      </c>
      <c r="K83" s="25">
        <f>C83*B60*B75*B83</f>
        <v>367.80349189875767</v>
      </c>
      <c r="L83" s="25">
        <f t="shared" si="5"/>
        <v>367.80349189875767</v>
      </c>
      <c r="M83" s="20">
        <f t="shared" si="6"/>
        <v>367.80349189875767</v>
      </c>
      <c r="N83" s="19">
        <f t="shared" si="7"/>
        <v>1839.0174594937885</v>
      </c>
      <c r="O83" s="25">
        <f t="shared" si="8"/>
        <v>2178.2365081012422</v>
      </c>
      <c r="P83" s="20">
        <f t="shared" si="9"/>
        <v>2178.2365081012422</v>
      </c>
      <c r="Q83" s="19">
        <f t="shared" si="10"/>
        <v>17425.892064809937</v>
      </c>
      <c r="R83" s="19">
        <f t="shared" si="11"/>
        <v>39407.623309706971</v>
      </c>
    </row>
    <row r="84" spans="1:18" x14ac:dyDescent="0.3">
      <c r="A84" s="26" t="s">
        <v>464</v>
      </c>
      <c r="B84" s="25">
        <f>INDEX($I$5:$I$16, 1+MOD(5-1,12))</f>
        <v>1</v>
      </c>
      <c r="C84" s="20">
        <f t="shared" si="12"/>
        <v>335.23755772022184</v>
      </c>
      <c r="D84" s="25">
        <f t="shared" si="0"/>
        <v>335.23755772022184</v>
      </c>
      <c r="E84" s="25">
        <f t="shared" si="1"/>
        <v>335.23755772022184</v>
      </c>
      <c r="F84" s="25">
        <f t="shared" si="14"/>
        <v>440.10120000000006</v>
      </c>
      <c r="G84" s="25">
        <f t="shared" si="13"/>
        <v>277.02444227977821</v>
      </c>
      <c r="H84" s="19">
        <f t="shared" si="2"/>
        <v>32.058562872053741</v>
      </c>
      <c r="I84" s="19">
        <f t="shared" si="3"/>
        <v>19628.239821169369</v>
      </c>
      <c r="J84" s="19">
        <f t="shared" si="4"/>
        <v>981.41199105846852</v>
      </c>
      <c r="K84" s="25">
        <f>C84*B60*B75*B84</f>
        <v>321.828055411413</v>
      </c>
      <c r="L84" s="25">
        <f t="shared" si="5"/>
        <v>321.828055411413</v>
      </c>
      <c r="M84" s="20">
        <f t="shared" si="6"/>
        <v>321.828055411413</v>
      </c>
      <c r="N84" s="19">
        <f t="shared" si="7"/>
        <v>1609.1402770570651</v>
      </c>
      <c r="O84" s="25">
        <f t="shared" si="8"/>
        <v>2224.2119445885869</v>
      </c>
      <c r="P84" s="20">
        <f t="shared" si="9"/>
        <v>2224.2119445885869</v>
      </c>
      <c r="Q84" s="19">
        <f t="shared" si="10"/>
        <v>17793.695556708695</v>
      </c>
      <c r="R84" s="19">
        <f t="shared" si="11"/>
        <v>40012.487645993591</v>
      </c>
    </row>
    <row r="85" spans="1:18" x14ac:dyDescent="0.3">
      <c r="A85" s="26" t="s">
        <v>465</v>
      </c>
      <c r="B85" s="25">
        <f>INDEX($I$5:$I$16, 1+MOD(6-1,12))</f>
        <v>0.8</v>
      </c>
      <c r="C85" s="20">
        <f t="shared" si="12"/>
        <v>351.99943560623296</v>
      </c>
      <c r="D85" s="25">
        <f t="shared" si="0"/>
        <v>281.59954848498637</v>
      </c>
      <c r="E85" s="25">
        <f t="shared" si="1"/>
        <v>281.59954848498637</v>
      </c>
      <c r="F85" s="25">
        <f t="shared" si="14"/>
        <v>352.08096000000006</v>
      </c>
      <c r="G85" s="25">
        <f t="shared" si="13"/>
        <v>330.66245151501369</v>
      </c>
      <c r="H85" s="19">
        <f t="shared" si="2"/>
        <v>32.872049955382288</v>
      </c>
      <c r="I85" s="19">
        <f t="shared" si="3"/>
        <v>20126.307049782274</v>
      </c>
      <c r="J85" s="19">
        <f t="shared" si="4"/>
        <v>1006.3153524891137</v>
      </c>
      <c r="K85" s="25">
        <f>C85*B60*B75*B85</f>
        <v>270.33556654558691</v>
      </c>
      <c r="L85" s="25">
        <f t="shared" si="5"/>
        <v>270.33556654558691</v>
      </c>
      <c r="M85" s="20">
        <f t="shared" si="6"/>
        <v>270.33556654558691</v>
      </c>
      <c r="N85" s="19">
        <f t="shared" si="7"/>
        <v>1351.6778327279346</v>
      </c>
      <c r="O85" s="25">
        <f t="shared" si="8"/>
        <v>2275.704433454413</v>
      </c>
      <c r="P85" s="20">
        <f t="shared" si="9"/>
        <v>2275.704433454413</v>
      </c>
      <c r="Q85" s="19">
        <f t="shared" si="10"/>
        <v>18205.635467635304</v>
      </c>
      <c r="R85" s="19">
        <f t="shared" si="11"/>
        <v>40689.935702634626</v>
      </c>
    </row>
    <row r="86" spans="1:18" x14ac:dyDescent="0.3">
      <c r="A86" s="26" t="s">
        <v>466</v>
      </c>
      <c r="B86" s="25">
        <f>INDEX($I$5:$I$16, 1+MOD(7-1,12))</f>
        <v>0.8</v>
      </c>
      <c r="C86" s="20">
        <f t="shared" si="12"/>
        <v>369.59940738654461</v>
      </c>
      <c r="D86" s="25">
        <f t="shared" si="0"/>
        <v>295.67952590923568</v>
      </c>
      <c r="E86" s="25">
        <f t="shared" si="1"/>
        <v>295.67952590923568</v>
      </c>
      <c r="F86" s="25">
        <f t="shared" si="14"/>
        <v>352.08096000000006</v>
      </c>
      <c r="G86" s="25">
        <f t="shared" si="13"/>
        <v>316.58247409076438</v>
      </c>
      <c r="H86" s="19">
        <f t="shared" si="2"/>
        <v>32.658509596008543</v>
      </c>
      <c r="I86" s="19">
        <f t="shared" si="3"/>
        <v>19995.564402271386</v>
      </c>
      <c r="J86" s="19">
        <f t="shared" si="4"/>
        <v>999.77822011356932</v>
      </c>
      <c r="K86" s="25">
        <f>C86*B60*B75*B86</f>
        <v>283.8523448728663</v>
      </c>
      <c r="L86" s="25">
        <f t="shared" si="5"/>
        <v>283.8523448728663</v>
      </c>
      <c r="M86" s="20">
        <f t="shared" si="6"/>
        <v>283.8523448728663</v>
      </c>
      <c r="N86" s="19">
        <f t="shared" si="7"/>
        <v>1419.2617243643315</v>
      </c>
      <c r="O86" s="25">
        <f t="shared" si="8"/>
        <v>2262.1876551271334</v>
      </c>
      <c r="P86" s="20">
        <f t="shared" si="9"/>
        <v>2262.1876551271334</v>
      </c>
      <c r="Q86" s="19">
        <f t="shared" si="10"/>
        <v>18097.501241017068</v>
      </c>
      <c r="R86" s="19">
        <f t="shared" si="11"/>
        <v>40512.10558776636</v>
      </c>
    </row>
    <row r="87" spans="1:18" x14ac:dyDescent="0.3">
      <c r="A87" s="26" t="s">
        <v>467</v>
      </c>
      <c r="B87" s="25">
        <f>INDEX($I$5:$I$16, 1+MOD(8-1,12))</f>
        <v>0.8</v>
      </c>
      <c r="C87" s="20">
        <f t="shared" si="12"/>
        <v>388.07937775587186</v>
      </c>
      <c r="D87" s="25">
        <f t="shared" si="0"/>
        <v>310.46350220469753</v>
      </c>
      <c r="E87" s="25">
        <f t="shared" si="1"/>
        <v>310.46350220469753</v>
      </c>
      <c r="F87" s="25">
        <f t="shared" si="14"/>
        <v>352.08096000000006</v>
      </c>
      <c r="G87" s="25">
        <f t="shared" si="13"/>
        <v>301.79849779530252</v>
      </c>
      <c r="H87" s="19">
        <f t="shared" si="2"/>
        <v>32.434292218666101</v>
      </c>
      <c r="I87" s="19">
        <f t="shared" si="3"/>
        <v>19858.284622384945</v>
      </c>
      <c r="J87" s="19">
        <f t="shared" si="4"/>
        <v>992.91423111924723</v>
      </c>
      <c r="K87" s="25">
        <f>C87*B60*B75*B87</f>
        <v>298.04496211650957</v>
      </c>
      <c r="L87" s="25">
        <f t="shared" si="5"/>
        <v>298.04496211650957</v>
      </c>
      <c r="M87" s="20">
        <f t="shared" si="6"/>
        <v>298.04496211650957</v>
      </c>
      <c r="N87" s="19">
        <f t="shared" si="7"/>
        <v>1490.2248105825479</v>
      </c>
      <c r="O87" s="25">
        <f t="shared" si="8"/>
        <v>2247.9950378834906</v>
      </c>
      <c r="P87" s="20">
        <f t="shared" si="9"/>
        <v>2247.9950378834906</v>
      </c>
      <c r="Q87" s="19">
        <f t="shared" si="10"/>
        <v>17983.960303067925</v>
      </c>
      <c r="R87" s="19">
        <f t="shared" si="11"/>
        <v>40325.383967154667</v>
      </c>
    </row>
    <row r="88" spans="1:18" x14ac:dyDescent="0.3">
      <c r="A88" s="26" t="s">
        <v>468</v>
      </c>
      <c r="B88" s="25">
        <f>INDEX($I$5:$I$16, 1+MOD(9-1,12))</f>
        <v>1</v>
      </c>
      <c r="C88" s="20">
        <f t="shared" si="12"/>
        <v>407.48334664366547</v>
      </c>
      <c r="D88" s="25">
        <f t="shared" si="0"/>
        <v>407.48334664366547</v>
      </c>
      <c r="E88" s="25">
        <f t="shared" si="1"/>
        <v>407.48334664366547</v>
      </c>
      <c r="F88" s="25">
        <f t="shared" si="14"/>
        <v>440.10120000000006</v>
      </c>
      <c r="G88" s="25">
        <f t="shared" si="13"/>
        <v>204.77865335633459</v>
      </c>
      <c r="H88" s="19">
        <f t="shared" si="2"/>
        <v>30.962865679856417</v>
      </c>
      <c r="I88" s="19">
        <f t="shared" si="3"/>
        <v>18957.386066880252</v>
      </c>
      <c r="J88" s="19">
        <f t="shared" si="4"/>
        <v>947.86930334401268</v>
      </c>
      <c r="K88" s="25">
        <f>C88*B60*B75*B88</f>
        <v>391.18401277791884</v>
      </c>
      <c r="L88" s="25">
        <f t="shared" si="5"/>
        <v>391.18401277791884</v>
      </c>
      <c r="M88" s="20">
        <f t="shared" si="6"/>
        <v>391.18401277791884</v>
      </c>
      <c r="N88" s="19">
        <f t="shared" si="7"/>
        <v>1955.9200638895941</v>
      </c>
      <c r="O88" s="25">
        <f t="shared" si="8"/>
        <v>2154.8559872220812</v>
      </c>
      <c r="P88" s="20">
        <f t="shared" si="9"/>
        <v>2154.8559872220812</v>
      </c>
      <c r="Q88" s="19">
        <f t="shared" si="10"/>
        <v>17238.84789777665</v>
      </c>
      <c r="R88" s="19">
        <f t="shared" si="11"/>
        <v>39100.023331890508</v>
      </c>
    </row>
    <row r="89" spans="1:18" x14ac:dyDescent="0.3">
      <c r="A89" s="26" t="s">
        <v>469</v>
      </c>
      <c r="B89" s="25">
        <f>INDEX($I$5:$I$16, 1+MOD(10-1,12))</f>
        <v>1.2</v>
      </c>
      <c r="C89" s="20">
        <f t="shared" si="12"/>
        <v>427.85751397584875</v>
      </c>
      <c r="D89" s="25">
        <f t="shared" si="0"/>
        <v>513.4290167710185</v>
      </c>
      <c r="E89" s="25">
        <f t="shared" si="1"/>
        <v>513.4290167710185</v>
      </c>
      <c r="F89" s="25">
        <f t="shared" si="14"/>
        <v>528.12144000000001</v>
      </c>
      <c r="G89" s="25">
        <f t="shared" si="13"/>
        <v>98.832983228981561</v>
      </c>
      <c r="H89" s="19">
        <f t="shared" si="2"/>
        <v>29.356067899476223</v>
      </c>
      <c r="I89" s="19">
        <f t="shared" si="3"/>
        <v>17973.604844269114</v>
      </c>
      <c r="J89" s="19">
        <f t="shared" si="4"/>
        <v>898.6802422134557</v>
      </c>
      <c r="K89" s="25">
        <f>C89*B60*B75*B89</f>
        <v>492.89185610017773</v>
      </c>
      <c r="L89" s="25">
        <f t="shared" si="5"/>
        <v>492.89185610017773</v>
      </c>
      <c r="M89" s="20">
        <f t="shared" si="6"/>
        <v>492.89185610017773</v>
      </c>
      <c r="N89" s="19">
        <f t="shared" si="7"/>
        <v>2464.4592805008888</v>
      </c>
      <c r="O89" s="25">
        <f t="shared" si="8"/>
        <v>2053.1481438998221</v>
      </c>
      <c r="P89" s="20">
        <f t="shared" si="9"/>
        <v>2053.1481438998221</v>
      </c>
      <c r="Q89" s="19">
        <f t="shared" si="10"/>
        <v>16425.185151198577</v>
      </c>
      <c r="R89" s="19">
        <f t="shared" si="11"/>
        <v>37761.929518182034</v>
      </c>
    </row>
    <row r="90" spans="1:18" x14ac:dyDescent="0.3">
      <c r="A90" s="26" t="s">
        <v>470</v>
      </c>
      <c r="B90" s="25">
        <f>INDEX($I$5:$I$16, 1+MOD(11-1,12))</f>
        <v>1.5</v>
      </c>
      <c r="C90" s="20">
        <f t="shared" si="12"/>
        <v>449.25038967464121</v>
      </c>
      <c r="D90" s="25">
        <f t="shared" si="0"/>
        <v>673.87558451196185</v>
      </c>
      <c r="E90" s="25">
        <f t="shared" si="1"/>
        <v>612.26200000000006</v>
      </c>
      <c r="F90" s="25">
        <f t="shared" si="14"/>
        <v>660.15180000000009</v>
      </c>
      <c r="G90" s="25">
        <f t="shared" si="13"/>
        <v>0</v>
      </c>
      <c r="H90" s="19">
        <f t="shared" si="2"/>
        <v>27.857142857142854</v>
      </c>
      <c r="I90" s="19">
        <f t="shared" si="3"/>
        <v>17055.87</v>
      </c>
      <c r="J90" s="19">
        <f t="shared" si="4"/>
        <v>852.79349999999999</v>
      </c>
      <c r="K90" s="25">
        <f>C90*B60*B75*B90</f>
        <v>646.9205611314834</v>
      </c>
      <c r="L90" s="25">
        <f t="shared" si="5"/>
        <v>646.9205611314834</v>
      </c>
      <c r="M90" s="20">
        <f t="shared" si="6"/>
        <v>646.9205611314834</v>
      </c>
      <c r="N90" s="19">
        <f t="shared" si="7"/>
        <v>3234.6028056574169</v>
      </c>
      <c r="O90" s="25">
        <f t="shared" si="8"/>
        <v>1899.1194388685167</v>
      </c>
      <c r="P90" s="20">
        <f t="shared" si="9"/>
        <v>1899.1194388685167</v>
      </c>
      <c r="Q90" s="19">
        <f t="shared" si="10"/>
        <v>15192.955510948133</v>
      </c>
      <c r="R90" s="19">
        <f t="shared" si="11"/>
        <v>36336.221816605554</v>
      </c>
    </row>
    <row r="91" spans="1:18" x14ac:dyDescent="0.3">
      <c r="A91" s="26" t="s">
        <v>471</v>
      </c>
      <c r="B91" s="25">
        <f>INDEX($I$5:$I$16, 1+MOD(12-1,12))</f>
        <v>2</v>
      </c>
      <c r="C91" s="20">
        <f t="shared" si="12"/>
        <v>471.71290915837329</v>
      </c>
      <c r="D91" s="25">
        <f t="shared" si="0"/>
        <v>943.42581831674659</v>
      </c>
      <c r="E91" s="25">
        <f t="shared" si="1"/>
        <v>612.26200000000006</v>
      </c>
      <c r="F91" s="25">
        <f t="shared" si="14"/>
        <v>880.20240000000013</v>
      </c>
      <c r="G91" s="25">
        <f t="shared" si="13"/>
        <v>0</v>
      </c>
      <c r="H91" s="19">
        <f t="shared" si="2"/>
        <v>27.857142857142854</v>
      </c>
      <c r="I91" s="19">
        <f t="shared" si="3"/>
        <v>17055.87</v>
      </c>
      <c r="J91" s="19">
        <f t="shared" si="4"/>
        <v>852.79349999999999</v>
      </c>
      <c r="K91" s="25">
        <f>C91*B60*B75*B91</f>
        <v>905.68878558407675</v>
      </c>
      <c r="L91" s="25">
        <f t="shared" si="5"/>
        <v>905.68878558407675</v>
      </c>
      <c r="M91" s="20">
        <f t="shared" si="6"/>
        <v>905.68878558407675</v>
      </c>
      <c r="N91" s="19">
        <f t="shared" si="7"/>
        <v>4528.4439279203834</v>
      </c>
      <c r="O91" s="25">
        <f t="shared" si="8"/>
        <v>1640.3512144159231</v>
      </c>
      <c r="P91" s="20">
        <f t="shared" si="9"/>
        <v>1640.3512144159231</v>
      </c>
      <c r="Q91" s="19">
        <f t="shared" si="10"/>
        <v>13122.809715327385</v>
      </c>
      <c r="R91" s="19">
        <f t="shared" si="11"/>
        <v>35559.917143247767</v>
      </c>
    </row>
    <row r="92" spans="1:18" x14ac:dyDescent="0.3">
      <c r="A92" s="26" t="s">
        <v>472</v>
      </c>
      <c r="B92" s="25">
        <f>INDEX($I$5:$I$16, 1+MOD(13-1,12))</f>
        <v>2</v>
      </c>
      <c r="C92" s="20">
        <f t="shared" si="12"/>
        <v>495.29855461629199</v>
      </c>
      <c r="D92" s="25">
        <f t="shared" si="0"/>
        <v>990.59710923258399</v>
      </c>
      <c r="E92" s="25">
        <f t="shared" si="1"/>
        <v>612.26200000000006</v>
      </c>
      <c r="F92" s="25">
        <f t="shared" si="14"/>
        <v>880.20240000000013</v>
      </c>
      <c r="G92" s="25">
        <f>MIN(F92, MAX($F$38-E92,0), $F$25*$F$38)</f>
        <v>0</v>
      </c>
      <c r="H92" s="19">
        <f t="shared" si="2"/>
        <v>27.857142857142854</v>
      </c>
      <c r="I92" s="19">
        <f t="shared" si="3"/>
        <v>17055.87</v>
      </c>
      <c r="J92" s="19">
        <f t="shared" si="4"/>
        <v>852.79349999999999</v>
      </c>
      <c r="K92" s="25">
        <f>C92*B60*B75*B92</f>
        <v>950.97322486328073</v>
      </c>
      <c r="L92" s="25">
        <f t="shared" si="5"/>
        <v>950.97322486328073</v>
      </c>
      <c r="M92" s="20">
        <f t="shared" si="6"/>
        <v>950.97322486328073</v>
      </c>
      <c r="N92" s="19">
        <f t="shared" si="7"/>
        <v>4754.8661243164033</v>
      </c>
      <c r="O92" s="25">
        <f t="shared" si="8"/>
        <v>1595.0667751367191</v>
      </c>
      <c r="P92" s="20">
        <f t="shared" si="9"/>
        <v>1595.0667751367191</v>
      </c>
      <c r="Q92" s="19">
        <f t="shared" si="10"/>
        <v>12760.534201093753</v>
      </c>
      <c r="R92" s="19">
        <f t="shared" si="11"/>
        <v>35424.06382541015</v>
      </c>
    </row>
    <row r="94" spans="1:18" x14ac:dyDescent="0.3">
      <c r="A94" s="24" t="s">
        <v>366</v>
      </c>
      <c r="B94" s="21"/>
      <c r="C94" s="21"/>
      <c r="D94" s="21"/>
      <c r="E94" s="21"/>
    </row>
    <row r="95" spans="1:18" ht="24.6" x14ac:dyDescent="0.3">
      <c r="A95" s="23" t="s">
        <v>365</v>
      </c>
      <c r="B95" s="23" t="s">
        <v>350</v>
      </c>
      <c r="C95" s="22" t="s">
        <v>349</v>
      </c>
      <c r="D95" s="22" t="s">
        <v>348</v>
      </c>
      <c r="E95" s="22" t="s">
        <v>347</v>
      </c>
    </row>
    <row r="96" spans="1:18" x14ac:dyDescent="0.3">
      <c r="A96" s="21" t="s">
        <v>364</v>
      </c>
      <c r="B96" s="20">
        <f>AVERAGE('Court Revenue (36m)'!C45:'Court Revenue (36m)'!C47)</f>
        <v>52.541666666666664</v>
      </c>
      <c r="C96" s="19">
        <f>SUM('Court Revenue (36m)'!I45:I47)+SUM('Court Revenue (36m)'!J45:J47)</f>
        <v>69085.63837500001</v>
      </c>
      <c r="D96" s="19">
        <f>SUM('Court Revenue (36m)'!N45:N47)+SUM('Court Revenue (36m)'!Q45:Q47)</f>
        <v>47031.839999999997</v>
      </c>
      <c r="E96" s="19">
        <f>SUM('Court Revenue (36m)'!R45:R47)</f>
        <v>116117.47837500001</v>
      </c>
    </row>
    <row r="97" spans="1:5" x14ac:dyDescent="0.3">
      <c r="A97" s="21" t="s">
        <v>363</v>
      </c>
      <c r="B97" s="20">
        <f>AVERAGE('Court Revenue (36m)'!C48:'Court Revenue (36m)'!C50)</f>
        <v>60.823546875000005</v>
      </c>
      <c r="C97" s="19">
        <f>SUM('Court Revenue (36m)'!I48:I50)+SUM('Court Revenue (36m)'!J48:J50)</f>
        <v>56794.399593750008</v>
      </c>
      <c r="D97" s="19">
        <f>SUM('Court Revenue (36m)'!N48:N50)+SUM('Court Revenue (36m)'!Q48:Q50)</f>
        <v>38190.600000000006</v>
      </c>
      <c r="E97" s="19">
        <f>SUM('Court Revenue (36m)'!R48:R50)</f>
        <v>94984.999593750006</v>
      </c>
    </row>
    <row r="98" spans="1:5" x14ac:dyDescent="0.3">
      <c r="A98" s="21" t="s">
        <v>362</v>
      </c>
      <c r="B98" s="20">
        <f>AVERAGE('Court Revenue (36m)'!C51:'Court Revenue (36m)'!C53)</f>
        <v>70.410858451171904</v>
      </c>
      <c r="C98" s="19">
        <f>SUM('Court Revenue (36m)'!I51:I53)+SUM('Court Revenue (36m)'!J51:J53)</f>
        <v>50001.259660580574</v>
      </c>
      <c r="D98" s="19">
        <f>SUM('Court Revenue (36m)'!N51:N53)+SUM('Court Revenue (36m)'!Q51:Q53)</f>
        <v>38190.600000000006</v>
      </c>
      <c r="E98" s="19">
        <f>SUM('Court Revenue (36m)'!R51:R53)</f>
        <v>88191.85966058058</v>
      </c>
    </row>
    <row r="99" spans="1:5" x14ac:dyDescent="0.3">
      <c r="A99" s="21" t="s">
        <v>361</v>
      </c>
      <c r="B99" s="20">
        <f>AVERAGE('Court Revenue (36m)'!C54:'Court Revenue (36m)'!C56)</f>
        <v>81.509370014537879</v>
      </c>
      <c r="C99" s="19">
        <f>SUM('Court Revenue (36m)'!I54:I56)+SUM('Court Revenue (36m)'!J54:J56)</f>
        <v>67868.416923658166</v>
      </c>
      <c r="D99" s="19">
        <f>SUM('Court Revenue (36m)'!N54:N56)+SUM('Court Revenue (36m)'!Q54:Q56)</f>
        <v>38190.600000000006</v>
      </c>
      <c r="E99" s="19">
        <f>SUM('Court Revenue (36m)'!R54:R56)</f>
        <v>106059.01692365816</v>
      </c>
    </row>
    <row r="100" spans="1:5" x14ac:dyDescent="0.3">
      <c r="A100" s="21" t="s">
        <v>360</v>
      </c>
      <c r="B100" s="20">
        <f>AVERAGE('Court Revenue (36m)'!C57:'Court Revenue (36m)'!C59)</f>
        <v>94.357284463079438</v>
      </c>
      <c r="C100" s="19">
        <f>SUM('Court Revenue (36m)'!I57:I59)+SUM('Court Revenue (36m)'!J57:J59)</f>
        <v>67056.988164714494</v>
      </c>
      <c r="D100" s="19">
        <f>SUM('Court Revenue (36m)'!N57:N59)+SUM('Court Revenue (36m)'!Q57:Q59)</f>
        <v>38190.600000000006</v>
      </c>
      <c r="E100" s="19">
        <f>SUM('Court Revenue (36m)'!R57:R59)</f>
        <v>105247.58816471449</v>
      </c>
    </row>
    <row r="101" spans="1:5" x14ac:dyDescent="0.3">
      <c r="A101" s="21" t="s">
        <v>359</v>
      </c>
      <c r="B101" s="20">
        <f>AVERAGE('Court Revenue (36m)'!C60:'Court Revenue (36m)'!C62)</f>
        <v>109.23035142657234</v>
      </c>
      <c r="C101" s="19">
        <f>SUM('Court Revenue (36m)'!I60:I62)+SUM('Court Revenue (36m)'!J60:J62)</f>
        <v>59431.264772380142</v>
      </c>
      <c r="D101" s="19">
        <f>SUM('Court Revenue (36m)'!N60:N62)+SUM('Court Revenue (36m)'!Q60:Q62)</f>
        <v>38190.600000000006</v>
      </c>
      <c r="E101" s="19">
        <f>SUM('Court Revenue (36m)'!R60:R62)</f>
        <v>97621.86477238014</v>
      </c>
    </row>
    <row r="102" spans="1:5" x14ac:dyDescent="0.3">
      <c r="A102" s="21" t="s">
        <v>358</v>
      </c>
      <c r="B102" s="20">
        <f>AVERAGE('Court Revenue (36m)'!C63:'Court Revenue (36m)'!C65)</f>
        <v>126.44778557018583</v>
      </c>
      <c r="C102" s="19">
        <f>SUM('Court Revenue (36m)'!I63:I65)+SUM('Court Revenue (36m)'!J63:J65)</f>
        <v>54278.985805781784</v>
      </c>
      <c r="D102" s="19">
        <f>SUM('Court Revenue (36m)'!N63:N65)+SUM('Court Revenue (36m)'!Q63:Q65)</f>
        <v>38190.600000000006</v>
      </c>
      <c r="E102" s="19">
        <f>SUM('Court Revenue (36m)'!R63:R65)</f>
        <v>92469.585805781797</v>
      </c>
    </row>
    <row r="103" spans="1:5" x14ac:dyDescent="0.3">
      <c r="A103" s="21" t="s">
        <v>357</v>
      </c>
      <c r="B103" s="20">
        <f>AVERAGE('Court Revenue (36m)'!C66:'Court Revenue (36m)'!C68)</f>
        <v>146.37911777068638</v>
      </c>
      <c r="C103" s="19">
        <f>SUM('Court Revenue (36m)'!I66:I68)+SUM('Court Revenue (36m)'!J66:J68)</f>
        <v>64871.033321152419</v>
      </c>
      <c r="D103" s="19">
        <f>SUM('Court Revenue (36m)'!N66:N68)+SUM('Court Revenue (36m)'!Q66:Q68)</f>
        <v>38190.600000000006</v>
      </c>
      <c r="E103" s="19">
        <f>SUM('Court Revenue (36m)'!R66:R68)</f>
        <v>103061.63332115242</v>
      </c>
    </row>
    <row r="104" spans="1:5" x14ac:dyDescent="0.3">
      <c r="A104" s="21" t="s">
        <v>356</v>
      </c>
      <c r="B104" s="20">
        <f>AVERAGE('Court Revenue (36m)'!C69:'Court Revenue (36m)'!C71)</f>
        <v>169.45212620929084</v>
      </c>
      <c r="C104" s="19">
        <f>SUM('Court Revenue (36m)'!I69:I71)+SUM('Court Revenue (36m)'!J69:J71)</f>
        <v>63413.823851287154</v>
      </c>
      <c r="D104" s="19">
        <f>SUM('Court Revenue (36m)'!N69:N71)+SUM('Court Revenue (36m)'!Q69:Q71)</f>
        <v>38190.600000000006</v>
      </c>
      <c r="E104" s="19">
        <f>SUM('Court Revenue (36m)'!R69:R71)</f>
        <v>101604.42385128715</v>
      </c>
    </row>
    <row r="105" spans="1:5" x14ac:dyDescent="0.3">
      <c r="A105" s="21" t="s">
        <v>355</v>
      </c>
      <c r="B105" s="20">
        <f>AVERAGE('Court Revenue (36m)'!C72:'Court Revenue (36m)'!C74)</f>
        <v>196.16201760303034</v>
      </c>
      <c r="C105" s="19">
        <f>SUM('Court Revenue (36m)'!I72:I74)+SUM('Court Revenue (36m)'!J72:J74)</f>
        <v>62208.337183028038</v>
      </c>
      <c r="D105" s="19">
        <f>SUM('Court Revenue (36m)'!N72:N74)+SUM('Court Revenue (36m)'!Q72:Q74)</f>
        <v>38190.600000000006</v>
      </c>
      <c r="E105" s="19">
        <f>SUM('Court Revenue (36m)'!R72:R74)</f>
        <v>100398.93718302804</v>
      </c>
    </row>
    <row r="106" spans="1:5" x14ac:dyDescent="0.3">
      <c r="A106" s="21" t="s">
        <v>354</v>
      </c>
      <c r="B106" s="20">
        <f>AVERAGE('Court Revenue (36m)'!C75:'Court Revenue (36m)'!C77)</f>
        <v>227.082055627708</v>
      </c>
      <c r="C106" s="19">
        <f>SUM('Court Revenue (36m)'!I75:I77)+SUM('Court Revenue (36m)'!J75:J77)</f>
        <v>59383.80270085462</v>
      </c>
      <c r="D106" s="19">
        <f>SUM('Court Revenue (36m)'!N75:N77)+SUM('Court Revenue (36m)'!Q75:Q77)</f>
        <v>38190.600000000006</v>
      </c>
      <c r="E106" s="19">
        <f>SUM('Court Revenue (36m)'!R75:R77)</f>
        <v>97574.402700854625</v>
      </c>
    </row>
    <row r="107" spans="1:5" x14ac:dyDescent="0.3">
      <c r="A107" s="21" t="s">
        <v>353</v>
      </c>
      <c r="B107" s="20">
        <f>AVERAGE('Court Revenue (36m)'!C78:'Court Revenue (36m)'!C80)</f>
        <v>262.87586464602549</v>
      </c>
      <c r="C107" s="19">
        <f>SUM('Court Revenue (36m)'!I78:I80)+SUM('Court Revenue (36m)'!J78:J80)</f>
        <v>59488.163017077459</v>
      </c>
      <c r="D107" s="19">
        <f>SUM('Court Revenue (36m)'!N78:N80)+SUM('Court Revenue (36m)'!Q78:Q80)</f>
        <v>38190.600000000006</v>
      </c>
      <c r="E107" s="19">
        <f>SUM('Court Revenue (36m)'!R78:R80)</f>
        <v>97678.763017077465</v>
      </c>
    </row>
    <row r="108" spans="1:5" x14ac:dyDescent="0.3">
      <c r="A108" s="21"/>
      <c r="B108" s="21"/>
      <c r="C108" s="21"/>
      <c r="D108" s="21"/>
      <c r="E108" s="21"/>
    </row>
    <row r="109" spans="1:5" x14ac:dyDescent="0.3">
      <c r="A109" s="24" t="s">
        <v>352</v>
      </c>
      <c r="B109" s="21"/>
      <c r="C109" s="21"/>
      <c r="D109" s="21"/>
      <c r="E109" s="21"/>
    </row>
    <row r="110" spans="1:5" ht="24.6" x14ac:dyDescent="0.3">
      <c r="A110" s="23" t="s">
        <v>351</v>
      </c>
      <c r="B110" s="23" t="s">
        <v>350</v>
      </c>
      <c r="C110" s="22" t="s">
        <v>349</v>
      </c>
      <c r="D110" s="22" t="s">
        <v>348</v>
      </c>
      <c r="E110" s="22" t="s">
        <v>347</v>
      </c>
    </row>
    <row r="111" spans="1:5" x14ac:dyDescent="0.3">
      <c r="A111" s="21" t="s">
        <v>346</v>
      </c>
      <c r="B111" s="20">
        <f>AVERAGE(C45:C56)</f>
        <v>66.321360501844111</v>
      </c>
      <c r="C111" s="19">
        <f>SUM(I45:I56)+SUM(J45:J56)</f>
        <v>243749.71455298873</v>
      </c>
      <c r="D111" s="19">
        <f>SUM(N45:N56)+SUM(P45:P56)</f>
        <v>140974.07999999999</v>
      </c>
      <c r="E111" s="19">
        <f>SUM(R45:R56)</f>
        <v>405353.35455298878</v>
      </c>
    </row>
    <row r="112" spans="1:5" x14ac:dyDescent="0.3">
      <c r="A112" s="21" t="s">
        <v>345</v>
      </c>
      <c r="B112" s="20">
        <f>AVERAGE(C57:C68)</f>
        <v>119.10363480763101</v>
      </c>
      <c r="C112" s="19">
        <f>SUM(I57:I68)+SUM(J57:J68)</f>
        <v>245638.2720640288</v>
      </c>
      <c r="D112" s="19">
        <f>SUM(N57:N68)+SUM(P57:P68)</f>
        <v>152762.4</v>
      </c>
      <c r="E112" s="19">
        <f>SUM(R57:R68)</f>
        <v>398400.6720640288</v>
      </c>
    </row>
    <row r="113" spans="1:5" x14ac:dyDescent="0.3">
      <c r="A113" s="21" t="s">
        <v>344</v>
      </c>
      <c r="B113" s="20">
        <f>AVERAGE(C69:C80)</f>
        <v>213.89301602151366</v>
      </c>
      <c r="C113" s="19">
        <f>SUM(I69:I80)+SUM(J69:J80)</f>
        <v>244494.12675224725</v>
      </c>
      <c r="D113" s="19">
        <f>SUM(N69:N80)+SUM(P69:P80)</f>
        <v>152762.4</v>
      </c>
      <c r="E113" s="19">
        <f>SUM(R69:R80)</f>
        <v>397256.52675224724</v>
      </c>
    </row>
  </sheetData>
  <mergeCells count="2">
    <mergeCell ref="A1:R1"/>
    <mergeCell ref="A2:R2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selection activeCell="C53" sqref="C53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9" bestFit="1" customWidth="1"/>
    <col min="4" max="4" width="12.44140625" bestFit="1" customWidth="1"/>
    <col min="5" max="5" width="7.44140625" bestFit="1" customWidth="1"/>
    <col min="6" max="6" width="7.77734375" customWidth="1"/>
    <col min="7" max="8" width="6.77734375" customWidth="1"/>
    <col min="9" max="9" width="13.109375" bestFit="1" customWidth="1"/>
  </cols>
  <sheetData>
    <row r="1" spans="1:9" ht="18" x14ac:dyDescent="0.35">
      <c r="A1" s="32" t="s">
        <v>82</v>
      </c>
      <c r="B1" s="32"/>
      <c r="C1" s="32"/>
      <c r="D1" s="32"/>
      <c r="E1" s="32"/>
      <c r="F1" s="32"/>
      <c r="G1" s="32"/>
      <c r="H1" s="32"/>
      <c r="I1" s="32"/>
    </row>
    <row r="2" spans="1:9" x14ac:dyDescent="0.3">
      <c r="A2" s="33" t="s">
        <v>83</v>
      </c>
      <c r="B2" s="33"/>
      <c r="C2" s="33"/>
      <c r="D2" s="33"/>
      <c r="E2" s="33"/>
      <c r="F2" s="33"/>
      <c r="G2" s="33"/>
      <c r="H2" s="33"/>
      <c r="I2" s="33"/>
    </row>
    <row r="4" spans="1:9" x14ac:dyDescent="0.3">
      <c r="A4" s="3" t="s">
        <v>84</v>
      </c>
      <c r="B4" s="3" t="s">
        <v>85</v>
      </c>
      <c r="C4" s="3" t="s">
        <v>181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</row>
    <row r="5" spans="1:9" x14ac:dyDescent="0.3">
      <c r="A5" s="4">
        <v>1</v>
      </c>
      <c r="B5" s="6">
        <f>'Court Revenue (36m)'!R45</f>
        <v>39671.538</v>
      </c>
      <c r="C5" s="9">
        <f>Assumptions!B16</f>
        <v>50</v>
      </c>
      <c r="D5" s="6">
        <f>C5*Assumptions!$B$17</f>
        <v>4602.5</v>
      </c>
      <c r="E5" s="6">
        <f>Assumptions!$B$19*4.33*Assumptions!$B$20</f>
        <v>6754.8</v>
      </c>
      <c r="F5" s="6">
        <f>(Assumptions!$B$21*Assumptions!$B$22*Assumptions!$B$23)/12</f>
        <v>1000</v>
      </c>
      <c r="G5" s="6">
        <f>Assumptions!$B$24</f>
        <v>3000</v>
      </c>
      <c r="H5" s="6">
        <f>Assumptions!$B$26</f>
        <v>5000</v>
      </c>
      <c r="I5" s="6">
        <f>SUM(B5:H5)</f>
        <v>60078.838000000003</v>
      </c>
    </row>
    <row r="6" spans="1:9" x14ac:dyDescent="0.3">
      <c r="A6" s="4">
        <v>2</v>
      </c>
      <c r="B6" s="6">
        <f>'Court Revenue (36m)'!R46</f>
        <v>40643.7255</v>
      </c>
      <c r="C6" s="9">
        <f>(1+Assumptions!$B$18)*C5</f>
        <v>52.5</v>
      </c>
      <c r="D6" s="6">
        <f>C6*Assumptions!$B$17</f>
        <v>4832.625</v>
      </c>
      <c r="E6" s="6">
        <f>Assumptions!$B$19*4.33*Assumptions!$B$20</f>
        <v>6754.8</v>
      </c>
      <c r="F6" s="6">
        <f>(Assumptions!$B$21*Assumptions!$B$22*Assumptions!$B$23)/12</f>
        <v>1000</v>
      </c>
      <c r="G6" s="6">
        <f>Assumptions!$B$24</f>
        <v>3000</v>
      </c>
      <c r="H6" s="6">
        <f>Assumptions!$B$26</f>
        <v>5000</v>
      </c>
      <c r="I6" s="6">
        <f t="shared" ref="I6:I40" si="0">SUM(B6:H6)</f>
        <v>61283.650500000003</v>
      </c>
    </row>
    <row r="7" spans="1:9" x14ac:dyDescent="0.3">
      <c r="A7" s="4">
        <v>3</v>
      </c>
      <c r="B7" s="6">
        <f>'Court Revenue (36m)'!R47</f>
        <v>35802.214875000005</v>
      </c>
      <c r="C7" s="9">
        <f>(1+Assumptions!$B$18)*C6</f>
        <v>55.125</v>
      </c>
      <c r="D7" s="6">
        <f>C7*Assumptions!$B$17</f>
        <v>5074.2562499999995</v>
      </c>
      <c r="E7" s="6">
        <f>Assumptions!$B$19*4.33*Assumptions!$B$20</f>
        <v>6754.8</v>
      </c>
      <c r="F7" s="6">
        <f>(Assumptions!$B$21*Assumptions!$B$22*Assumptions!$B$23)/12</f>
        <v>1000</v>
      </c>
      <c r="G7" s="6">
        <f>Assumptions!$B$24</f>
        <v>3000</v>
      </c>
      <c r="H7" s="6">
        <f>Assumptions!$B$26</f>
        <v>5000</v>
      </c>
      <c r="I7" s="6">
        <f t="shared" si="0"/>
        <v>56686.396125000007</v>
      </c>
    </row>
    <row r="8" spans="1:9" x14ac:dyDescent="0.3">
      <c r="A8" s="4">
        <v>4</v>
      </c>
      <c r="B8" s="6">
        <f>'Court Revenue (36m)'!R48</f>
        <v>35358.568035000004</v>
      </c>
      <c r="C8" s="9">
        <f>(1+Assumptions!$B$18)*C7</f>
        <v>57.881250000000001</v>
      </c>
      <c r="D8" s="6">
        <f>C8*Assumptions!$B$17</f>
        <v>5327.9690625000003</v>
      </c>
      <c r="E8" s="6">
        <f>Assumptions!$B$19*4.33*Assumptions!$B$20</f>
        <v>6754.8</v>
      </c>
      <c r="F8" s="6">
        <f>(Assumptions!$B$21*Assumptions!$B$22*Assumptions!$B$23)/12</f>
        <v>1000</v>
      </c>
      <c r="G8" s="6">
        <f>Assumptions!$B$24</f>
        <v>3000</v>
      </c>
      <c r="H8" s="6">
        <f>Assumptions!$B$26</f>
        <v>5000</v>
      </c>
      <c r="I8" s="6">
        <f t="shared" si="0"/>
        <v>56499.218347500006</v>
      </c>
    </row>
    <row r="9" spans="1:9" x14ac:dyDescent="0.3">
      <c r="A9" s="4">
        <v>5</v>
      </c>
      <c r="B9" s="6">
        <f>'Court Revenue (36m)'!R49</f>
        <v>31671.824690625002</v>
      </c>
      <c r="C9" s="9">
        <f>(1+Assumptions!$B$18)*C8</f>
        <v>60.775312500000005</v>
      </c>
      <c r="D9" s="6">
        <f>C9*Assumptions!$B$17</f>
        <v>5594.3675156250001</v>
      </c>
      <c r="E9" s="6">
        <f>Assumptions!$B$19*4.33*Assumptions!$B$20</f>
        <v>6754.8</v>
      </c>
      <c r="F9" s="6">
        <f>(Assumptions!$B$21*Assumptions!$B$22*Assumptions!$B$23)/12</f>
        <v>1000</v>
      </c>
      <c r="G9" s="6">
        <f>Assumptions!$B$24</f>
        <v>3000</v>
      </c>
      <c r="H9" s="6">
        <f>Assumptions!$B$26</f>
        <v>5000</v>
      </c>
      <c r="I9" s="6">
        <f t="shared" si="0"/>
        <v>53081.767518750006</v>
      </c>
    </row>
    <row r="10" spans="1:9" x14ac:dyDescent="0.3">
      <c r="A10" s="4">
        <v>6</v>
      </c>
      <c r="B10" s="6">
        <f>'Court Revenue (36m)'!R50</f>
        <v>27954.606868125004</v>
      </c>
      <c r="C10" s="9">
        <f>(1+Assumptions!$B$18)*C9</f>
        <v>63.814078125000009</v>
      </c>
      <c r="D10" s="6">
        <f>C10*Assumptions!$B$17</f>
        <v>5874.085891406251</v>
      </c>
      <c r="E10" s="6">
        <f>Assumptions!$B$19*4.33*Assumptions!$B$20</f>
        <v>6754.8</v>
      </c>
      <c r="F10" s="6">
        <f>(Assumptions!$B$21*Assumptions!$B$22*Assumptions!$B$23)/12</f>
        <v>1000</v>
      </c>
      <c r="G10" s="6">
        <f>Assumptions!$B$24</f>
        <v>3000</v>
      </c>
      <c r="H10" s="6">
        <f>Assumptions!$B$26</f>
        <v>5000</v>
      </c>
      <c r="I10" s="6">
        <f t="shared" si="0"/>
        <v>49647.306837656259</v>
      </c>
    </row>
    <row r="11" spans="1:9" x14ac:dyDescent="0.3">
      <c r="A11" s="4">
        <v>7</v>
      </c>
      <c r="B11" s="6">
        <f>'Court Revenue (36m)'!R51</f>
        <v>28029.269339531253</v>
      </c>
      <c r="C11" s="9">
        <f>(1+Assumptions!$B$18)*C10</f>
        <v>67.004782031250016</v>
      </c>
      <c r="D11" s="6">
        <f>C11*Assumptions!$B$17</f>
        <v>6167.7901859765634</v>
      </c>
      <c r="E11" s="6">
        <f>Assumptions!$B$19*4.33*Assumptions!$B$20</f>
        <v>6754.8</v>
      </c>
      <c r="F11" s="6">
        <f>(Assumptions!$B$21*Assumptions!$B$22*Assumptions!$B$23)/12</f>
        <v>1000</v>
      </c>
      <c r="G11" s="6">
        <f>Assumptions!$B$24</f>
        <v>3000</v>
      </c>
      <c r="H11" s="6">
        <f>Assumptions!$B$26</f>
        <v>5000</v>
      </c>
      <c r="I11" s="6">
        <f t="shared" si="0"/>
        <v>50018.864307539072</v>
      </c>
    </row>
    <row r="12" spans="1:9" x14ac:dyDescent="0.3">
      <c r="A12" s="4">
        <v>8</v>
      </c>
      <c r="B12" s="6">
        <f>'Court Revenue (36m)'!R52</f>
        <v>28107.664934507819</v>
      </c>
      <c r="C12" s="9">
        <f>(1+Assumptions!$B$18)*C11</f>
        <v>70.355021132812524</v>
      </c>
      <c r="D12" s="6">
        <f>C12*Assumptions!$B$17</f>
        <v>6476.179695275393</v>
      </c>
      <c r="E12" s="6">
        <f>Assumptions!$B$19*4.33*Assumptions!$B$20</f>
        <v>6754.8</v>
      </c>
      <c r="F12" s="6">
        <f>(Assumptions!$B$21*Assumptions!$B$22*Assumptions!$B$23)/12</f>
        <v>1000</v>
      </c>
      <c r="G12" s="6">
        <f>Assumptions!$B$24</f>
        <v>3000</v>
      </c>
      <c r="H12" s="6">
        <f>Assumptions!$B$26</f>
        <v>5000</v>
      </c>
      <c r="I12" s="6">
        <f t="shared" si="0"/>
        <v>50408.999650916026</v>
      </c>
    </row>
    <row r="13" spans="1:9" x14ac:dyDescent="0.3">
      <c r="A13" s="4">
        <v>9</v>
      </c>
      <c r="B13" s="6">
        <f>'Court Revenue (36m)'!R53</f>
        <v>32054.925386541505</v>
      </c>
      <c r="C13" s="9">
        <f>(1+Assumptions!$B$18)*C12</f>
        <v>73.872772189453158</v>
      </c>
      <c r="D13" s="6">
        <f>C13*Assumptions!$B$17</f>
        <v>6799.9886800391632</v>
      </c>
      <c r="E13" s="6">
        <f>Assumptions!$B$19*4.33*Assumptions!$B$20</f>
        <v>6754.8</v>
      </c>
      <c r="F13" s="6">
        <f>(Assumptions!$B$21*Assumptions!$B$22*Assumptions!$B$23)/12</f>
        <v>1000</v>
      </c>
      <c r="G13" s="6">
        <f>Assumptions!$B$24</f>
        <v>3000</v>
      </c>
      <c r="H13" s="6">
        <f>Assumptions!$B$26</f>
        <v>5000</v>
      </c>
      <c r="I13" s="6">
        <f t="shared" si="0"/>
        <v>54683.586838770127</v>
      </c>
    </row>
    <row r="14" spans="1:9" x14ac:dyDescent="0.3">
      <c r="A14" s="4">
        <v>10</v>
      </c>
      <c r="B14" s="6">
        <f>'Court Revenue (36m)'!R54</f>
        <v>35700.890993652567</v>
      </c>
      <c r="C14" s="9">
        <f>(1+Assumptions!$B$18)*C13</f>
        <v>77.566410798925816</v>
      </c>
      <c r="D14" s="6">
        <f>C14*Assumptions!$B$17</f>
        <v>7139.9881140411208</v>
      </c>
      <c r="E14" s="6">
        <f>Assumptions!$B$19*4.33*Assumptions!$B$20</f>
        <v>6754.8</v>
      </c>
      <c r="F14" s="6">
        <f>(Assumptions!$B$21*Assumptions!$B$22*Assumptions!$B$23)/12</f>
        <v>1000</v>
      </c>
      <c r="G14" s="6">
        <f>Assumptions!$B$24</f>
        <v>3000</v>
      </c>
      <c r="H14" s="6">
        <f>Assumptions!$B$26</f>
        <v>5000</v>
      </c>
      <c r="I14" s="6">
        <f t="shared" si="0"/>
        <v>58673.245518492622</v>
      </c>
    </row>
    <row r="15" spans="1:9" x14ac:dyDescent="0.3">
      <c r="A15" s="4">
        <v>11</v>
      </c>
      <c r="B15" s="6">
        <f>'Court Revenue (36m)'!R55</f>
        <v>35417.288804169002</v>
      </c>
      <c r="C15" s="9">
        <f>(1+Assumptions!$B$18)*C14</f>
        <v>81.444731338872103</v>
      </c>
      <c r="D15" s="6">
        <f>C15*Assumptions!$B$17</f>
        <v>7496.9875197431766</v>
      </c>
      <c r="E15" s="6">
        <f>Assumptions!$B$19*4.33*Assumptions!$B$20</f>
        <v>6754.8</v>
      </c>
      <c r="F15" s="6">
        <f>(Assumptions!$B$21*Assumptions!$B$22*Assumptions!$B$23)/12</f>
        <v>1000</v>
      </c>
      <c r="G15" s="6">
        <f>Assumptions!$B$24</f>
        <v>3000</v>
      </c>
      <c r="H15" s="6">
        <f>Assumptions!$B$26</f>
        <v>5000</v>
      </c>
      <c r="I15" s="6">
        <f t="shared" si="0"/>
        <v>58750.521055251054</v>
      </c>
    </row>
    <row r="16" spans="1:9" x14ac:dyDescent="0.3">
      <c r="A16" s="4">
        <v>12</v>
      </c>
      <c r="B16" s="6">
        <f>'Court Revenue (36m)'!R56</f>
        <v>34940.837125836595</v>
      </c>
      <c r="C16" s="9">
        <f>(1+Assumptions!$B$18)*C15</f>
        <v>85.516967905815719</v>
      </c>
      <c r="D16" s="6">
        <f>C16*Assumptions!$B$17</f>
        <v>7871.8368957303364</v>
      </c>
      <c r="E16" s="6">
        <f>Assumptions!$B$19*4.33*Assumptions!$B$20</f>
        <v>6754.8</v>
      </c>
      <c r="F16" s="6">
        <f>(Assumptions!$B$21*Assumptions!$B$22*Assumptions!$B$23)/12</f>
        <v>1000</v>
      </c>
      <c r="G16" s="6">
        <f>Assumptions!$B$24</f>
        <v>3000</v>
      </c>
      <c r="H16" s="6">
        <f>Assumptions!$B$26</f>
        <v>5000</v>
      </c>
      <c r="I16" s="6">
        <f t="shared" si="0"/>
        <v>58652.990989472753</v>
      </c>
    </row>
    <row r="17" spans="1:9" x14ac:dyDescent="0.3">
      <c r="A17" s="4">
        <v>13</v>
      </c>
      <c r="B17" s="6">
        <f>'Court Revenue (36m)'!R57</f>
        <v>34857.458082128418</v>
      </c>
      <c r="C17" s="9">
        <f>(1+Assumptions!$B$18)*C16</f>
        <v>89.792816301106512</v>
      </c>
      <c r="D17" s="6">
        <f>C17*Assumptions!$B$17</f>
        <v>8265.4287405168543</v>
      </c>
      <c r="E17" s="6">
        <f>Assumptions!$B$19*4.33*Assumptions!$B$20</f>
        <v>6754.8</v>
      </c>
      <c r="F17" s="6">
        <f>(Assumptions!$B$21*Assumptions!$B$22*Assumptions!$B$23)/12</f>
        <v>1000</v>
      </c>
      <c r="G17" s="6">
        <f>Assumptions!$B$24</f>
        <v>3000</v>
      </c>
      <c r="H17" s="6">
        <f>Assumptions!$B$26</f>
        <v>5000</v>
      </c>
      <c r="I17" s="6">
        <f t="shared" si="0"/>
        <v>58967.479638946388</v>
      </c>
    </row>
    <row r="18" spans="1:9" x14ac:dyDescent="0.3">
      <c r="A18" s="4">
        <v>14</v>
      </c>
      <c r="B18" s="6">
        <f>'Court Revenue (36m)'!R58</f>
        <v>35229.537064676137</v>
      </c>
      <c r="C18" s="9">
        <f>(1+Assumptions!$B$18)*C17</f>
        <v>94.282457116161837</v>
      </c>
      <c r="D18" s="6">
        <f>C18*Assumptions!$B$17</f>
        <v>8678.7001775426961</v>
      </c>
      <c r="E18" s="6">
        <f>Assumptions!$B$19*4.33*Assumptions!$B$20</f>
        <v>6754.8</v>
      </c>
      <c r="F18" s="6">
        <f>(Assumptions!$B$21*Assumptions!$B$22*Assumptions!$B$23)/12</f>
        <v>1000</v>
      </c>
      <c r="G18" s="6">
        <f>Assumptions!$B$24</f>
        <v>3000</v>
      </c>
      <c r="H18" s="6">
        <f>Assumptions!$B$26</f>
        <v>5000</v>
      </c>
      <c r="I18" s="6">
        <f t="shared" si="0"/>
        <v>59757.319699334999</v>
      </c>
    </row>
    <row r="19" spans="1:9" x14ac:dyDescent="0.3">
      <c r="A19" s="4">
        <v>15</v>
      </c>
      <c r="B19" s="6">
        <f>'Court Revenue (36m)'!R59</f>
        <v>35160.593017909938</v>
      </c>
      <c r="C19" s="9">
        <f>(1+Assumptions!$B$18)*C18</f>
        <v>98.996579971969936</v>
      </c>
      <c r="D19" s="6">
        <f>C19*Assumptions!$B$17</f>
        <v>9112.6351864198332</v>
      </c>
      <c r="E19" s="6">
        <f>Assumptions!$B$19*4.33*Assumptions!$B$20</f>
        <v>6754.8</v>
      </c>
      <c r="F19" s="6">
        <f>(Assumptions!$B$21*Assumptions!$B$22*Assumptions!$B$23)/12</f>
        <v>1000</v>
      </c>
      <c r="G19" s="6">
        <f>Assumptions!$B$24</f>
        <v>3000</v>
      </c>
      <c r="H19" s="6">
        <f>Assumptions!$B$26</f>
        <v>5000</v>
      </c>
      <c r="I19" s="6">
        <f t="shared" si="0"/>
        <v>60127.024784301742</v>
      </c>
    </row>
    <row r="20" spans="1:9" x14ac:dyDescent="0.3">
      <c r="A20" s="4">
        <v>16</v>
      </c>
      <c r="B20" s="6">
        <f>'Court Revenue (36m)'!R60</f>
        <v>35392.245015044347</v>
      </c>
      <c r="C20" s="9">
        <f>(1+Assumptions!$B$18)*C19</f>
        <v>103.94640897056844</v>
      </c>
      <c r="D20" s="6">
        <f>C20*Assumptions!$B$17</f>
        <v>9568.2669457408247</v>
      </c>
      <c r="E20" s="6">
        <f>Assumptions!$B$19*4.33*Assumptions!$B$20</f>
        <v>6754.8</v>
      </c>
      <c r="F20" s="6">
        <f>(Assumptions!$B$21*Assumptions!$B$22*Assumptions!$B$23)/12</f>
        <v>1000</v>
      </c>
      <c r="G20" s="6">
        <f>Assumptions!$B$24</f>
        <v>3000</v>
      </c>
      <c r="H20" s="6">
        <f>Assumptions!$B$26</f>
        <v>5000</v>
      </c>
      <c r="I20" s="6">
        <f t="shared" si="0"/>
        <v>60819.258369755742</v>
      </c>
    </row>
    <row r="21" spans="1:9" x14ac:dyDescent="0.3">
      <c r="A21" s="4">
        <v>17</v>
      </c>
      <c r="B21" s="6">
        <f>'Court Revenue (36m)'!R61</f>
        <v>33086.600885508582</v>
      </c>
      <c r="C21" s="9">
        <f>(1+Assumptions!$B$18)*C20</f>
        <v>109.14372941909687</v>
      </c>
      <c r="D21" s="6">
        <f>C21*Assumptions!$B$17</f>
        <v>10046.680293027866</v>
      </c>
      <c r="E21" s="6">
        <f>Assumptions!$B$19*4.33*Assumptions!$B$20</f>
        <v>6754.8</v>
      </c>
      <c r="F21" s="6">
        <f>(Assumptions!$B$21*Assumptions!$B$22*Assumptions!$B$23)/12</f>
        <v>1000</v>
      </c>
      <c r="G21" s="6">
        <f>Assumptions!$B$24</f>
        <v>3000</v>
      </c>
      <c r="H21" s="6">
        <f>Assumptions!$B$26</f>
        <v>5000</v>
      </c>
      <c r="I21" s="6">
        <f t="shared" si="0"/>
        <v>58997.224907955548</v>
      </c>
    </row>
    <row r="22" spans="1:9" x14ac:dyDescent="0.3">
      <c r="A22" s="4">
        <v>18</v>
      </c>
      <c r="B22" s="6">
        <f>'Court Revenue (36m)'!R62</f>
        <v>29143.018871827211</v>
      </c>
      <c r="C22" s="9">
        <f>(1+Assumptions!$B$18)*C21</f>
        <v>114.60091589005172</v>
      </c>
      <c r="D22" s="6">
        <f>C22*Assumptions!$B$17</f>
        <v>10549.014307679261</v>
      </c>
      <c r="E22" s="6">
        <f>Assumptions!$B$19*4.33*Assumptions!$B$20</f>
        <v>6754.8</v>
      </c>
      <c r="F22" s="6">
        <f>(Assumptions!$B$21*Assumptions!$B$22*Assumptions!$B$23)/12</f>
        <v>1000</v>
      </c>
      <c r="G22" s="6">
        <f>Assumptions!$B$24</f>
        <v>3000</v>
      </c>
      <c r="H22" s="6">
        <f>Assumptions!$B$26</f>
        <v>5000</v>
      </c>
      <c r="I22" s="6">
        <f t="shared" si="0"/>
        <v>55561.434095396529</v>
      </c>
    </row>
    <row r="23" spans="1:9" x14ac:dyDescent="0.3">
      <c r="A23" s="4">
        <v>19</v>
      </c>
      <c r="B23" s="6">
        <f>'Court Revenue (36m)'!R63</f>
        <v>29277.101943418569</v>
      </c>
      <c r="C23" s="9">
        <f>(1+Assumptions!$B$18)*C22</f>
        <v>120.33096168455431</v>
      </c>
      <c r="D23" s="6">
        <f>C23*Assumptions!$B$17</f>
        <v>11076.465023063223</v>
      </c>
      <c r="E23" s="6">
        <f>Assumptions!$B$19*4.33*Assumptions!$B$20</f>
        <v>6754.8</v>
      </c>
      <c r="F23" s="6">
        <f>(Assumptions!$B$21*Assumptions!$B$22*Assumptions!$B$23)/12</f>
        <v>1000</v>
      </c>
      <c r="G23" s="6">
        <f>Assumptions!$B$24</f>
        <v>3000</v>
      </c>
      <c r="H23" s="6">
        <f>Assumptions!$B$26</f>
        <v>5000</v>
      </c>
      <c r="I23" s="6">
        <f t="shared" si="0"/>
        <v>56228.697928166352</v>
      </c>
    </row>
    <row r="24" spans="1:9" x14ac:dyDescent="0.3">
      <c r="A24" s="4">
        <v>20</v>
      </c>
      <c r="B24" s="6">
        <f>'Court Revenue (36m)'!R64</f>
        <v>29417.889168589503</v>
      </c>
      <c r="C24" s="9">
        <f>(1+Assumptions!$B$18)*C23</f>
        <v>126.34750976878203</v>
      </c>
      <c r="D24" s="6">
        <f>C24*Assumptions!$B$17</f>
        <v>11630.288274216386</v>
      </c>
      <c r="E24" s="6">
        <f>Assumptions!$B$19*4.33*Assumptions!$B$20</f>
        <v>6754.8</v>
      </c>
      <c r="F24" s="6">
        <f>(Assumptions!$B$21*Assumptions!$B$22*Assumptions!$B$23)/12</f>
        <v>1000</v>
      </c>
      <c r="G24" s="6">
        <f>Assumptions!$B$24</f>
        <v>3000</v>
      </c>
      <c r="H24" s="6">
        <f>Assumptions!$B$26</f>
        <v>5000</v>
      </c>
      <c r="I24" s="6">
        <f t="shared" si="0"/>
        <v>56929.324952574672</v>
      </c>
    </row>
    <row r="25" spans="1:9" x14ac:dyDescent="0.3">
      <c r="A25" s="4">
        <v>21</v>
      </c>
      <c r="B25" s="6">
        <f>'Court Revenue (36m)'!R65</f>
        <v>33774.594693773717</v>
      </c>
      <c r="C25" s="9">
        <f>(1+Assumptions!$B$18)*C24</f>
        <v>132.66488525722113</v>
      </c>
      <c r="D25" s="6">
        <f>C25*Assumptions!$B$17</f>
        <v>12211.802687927204</v>
      </c>
      <c r="E25" s="6">
        <f>Assumptions!$B$19*4.33*Assumptions!$B$20</f>
        <v>6754.8</v>
      </c>
      <c r="F25" s="6">
        <f>(Assumptions!$B$21*Assumptions!$B$22*Assumptions!$B$23)/12</f>
        <v>1000</v>
      </c>
      <c r="G25" s="6">
        <f>Assumptions!$B$24</f>
        <v>3000</v>
      </c>
      <c r="H25" s="6">
        <f>Assumptions!$B$26</f>
        <v>5000</v>
      </c>
      <c r="I25" s="6">
        <f t="shared" si="0"/>
        <v>61873.862266958138</v>
      </c>
    </row>
    <row r="26" spans="1:9" x14ac:dyDescent="0.3">
      <c r="A26" s="4">
        <v>22</v>
      </c>
      <c r="B26" s="6">
        <f>'Court Revenue (36m)'!R66</f>
        <v>34978.629884615046</v>
      </c>
      <c r="C26" s="9">
        <f>(1+Assumptions!$B$18)*C25</f>
        <v>139.2981295200822</v>
      </c>
      <c r="D26" s="6">
        <f>C26*Assumptions!$B$17</f>
        <v>12822.392822323565</v>
      </c>
      <c r="E26" s="6">
        <f>Assumptions!$B$19*4.33*Assumptions!$B$20</f>
        <v>6754.8</v>
      </c>
      <c r="F26" s="6">
        <f>(Assumptions!$B$21*Assumptions!$B$22*Assumptions!$B$23)/12</f>
        <v>1000</v>
      </c>
      <c r="G26" s="6">
        <f>Assumptions!$B$24</f>
        <v>3000</v>
      </c>
      <c r="H26" s="6">
        <f>Assumptions!$B$26</f>
        <v>5000</v>
      </c>
      <c r="I26" s="6">
        <f t="shared" si="0"/>
        <v>63695.120836458693</v>
      </c>
    </row>
    <row r="27" spans="1:9" x14ac:dyDescent="0.3">
      <c r="A27" s="4">
        <v>23</v>
      </c>
      <c r="B27" s="6">
        <f>'Court Revenue (36m)'!R67</f>
        <v>34469.321098557237</v>
      </c>
      <c r="C27" s="9">
        <f>(1+Assumptions!$B$18)*C26</f>
        <v>146.2630359960863</v>
      </c>
      <c r="D27" s="6">
        <f>C27*Assumptions!$B$17</f>
        <v>13463.512463439743</v>
      </c>
      <c r="E27" s="6">
        <f>Assumptions!$B$19*4.33*Assumptions!$B$20</f>
        <v>6754.8</v>
      </c>
      <c r="F27" s="6">
        <f>(Assumptions!$B$21*Assumptions!$B$22*Assumptions!$B$23)/12</f>
        <v>1000</v>
      </c>
      <c r="G27" s="6">
        <f>Assumptions!$B$24</f>
        <v>3000</v>
      </c>
      <c r="H27" s="6">
        <f>Assumptions!$B$26</f>
        <v>5000</v>
      </c>
      <c r="I27" s="6">
        <f t="shared" si="0"/>
        <v>63833.896597993073</v>
      </c>
    </row>
    <row r="28" spans="1:9" x14ac:dyDescent="0.3">
      <c r="A28" s="4">
        <v>24</v>
      </c>
      <c r="B28" s="6">
        <f>'Court Revenue (36m)'!R68</f>
        <v>33613.682337980135</v>
      </c>
      <c r="C28" s="9">
        <f>(1+Assumptions!$B$18)*C27</f>
        <v>153.57618779589063</v>
      </c>
      <c r="D28" s="6">
        <f>C28*Assumptions!$B$17</f>
        <v>14136.688086611732</v>
      </c>
      <c r="E28" s="6">
        <f>Assumptions!$B$19*4.33*Assumptions!$B$20</f>
        <v>6754.8</v>
      </c>
      <c r="F28" s="6">
        <f>(Assumptions!$B$21*Assumptions!$B$22*Assumptions!$B$23)/12</f>
        <v>1000</v>
      </c>
      <c r="G28" s="6">
        <f>Assumptions!$B$24</f>
        <v>3000</v>
      </c>
      <c r="H28" s="6">
        <f>Assumptions!$B$26</f>
        <v>5000</v>
      </c>
      <c r="I28" s="6">
        <f t="shared" si="0"/>
        <v>63658.746612387768</v>
      </c>
    </row>
    <row r="29" spans="1:9" x14ac:dyDescent="0.3">
      <c r="A29" s="4">
        <v>25</v>
      </c>
      <c r="B29" s="6">
        <f>'Court Revenue (36m)'!R69</f>
        <v>33463.945554879145</v>
      </c>
      <c r="C29" s="9">
        <f>(1+Assumptions!$B$18)*C28</f>
        <v>161.25499718568517</v>
      </c>
      <c r="D29" s="6">
        <f>C29*Assumptions!$B$17</f>
        <v>14843.52249094232</v>
      </c>
      <c r="E29" s="6">
        <f>Assumptions!$B$19*4.33*Assumptions!$B$20</f>
        <v>6754.8</v>
      </c>
      <c r="F29" s="6">
        <f>(Assumptions!$B$21*Assumptions!$B$22*Assumptions!$B$23)/12</f>
        <v>1000</v>
      </c>
      <c r="G29" s="6">
        <f>Assumptions!$B$24</f>
        <v>3000</v>
      </c>
      <c r="H29" s="6">
        <f>Assumptions!$B$26</f>
        <v>5000</v>
      </c>
      <c r="I29" s="6">
        <f t="shared" si="0"/>
        <v>64223.523043007153</v>
      </c>
    </row>
    <row r="30" spans="1:9" x14ac:dyDescent="0.3">
      <c r="A30" s="4">
        <v>26</v>
      </c>
      <c r="B30" s="6">
        <f>'Court Revenue (36m)'!R70</f>
        <v>34132.145949467318</v>
      </c>
      <c r="C30" s="9">
        <f>(1+Assumptions!$B$18)*C29</f>
        <v>169.31774704496942</v>
      </c>
      <c r="D30" s="6">
        <f>C30*Assumptions!$B$17</f>
        <v>15585.698615489435</v>
      </c>
      <c r="E30" s="6">
        <f>Assumptions!$B$19*4.33*Assumptions!$B$20</f>
        <v>6754.8</v>
      </c>
      <c r="F30" s="6">
        <f>(Assumptions!$B$21*Assumptions!$B$22*Assumptions!$B$23)/12</f>
        <v>1000</v>
      </c>
      <c r="G30" s="6">
        <f>Assumptions!$B$24</f>
        <v>3000</v>
      </c>
      <c r="H30" s="6">
        <f>Assumptions!$B$26</f>
        <v>5000</v>
      </c>
      <c r="I30" s="6">
        <f t="shared" si="0"/>
        <v>65641.96231200172</v>
      </c>
    </row>
    <row r="31" spans="1:9" x14ac:dyDescent="0.3">
      <c r="A31" s="4">
        <v>27</v>
      </c>
      <c r="B31" s="6">
        <f>'Court Revenue (36m)'!R71</f>
        <v>34008.33234694069</v>
      </c>
      <c r="C31" s="9">
        <f>(1+Assumptions!$B$18)*C30</f>
        <v>177.7836343972179</v>
      </c>
      <c r="D31" s="6">
        <f>C31*Assumptions!$B$17</f>
        <v>16364.983546263908</v>
      </c>
      <c r="E31" s="6">
        <f>Assumptions!$B$19*4.33*Assumptions!$B$20</f>
        <v>6754.8</v>
      </c>
      <c r="F31" s="6">
        <f>(Assumptions!$B$21*Assumptions!$B$22*Assumptions!$B$23)/12</f>
        <v>1000</v>
      </c>
      <c r="G31" s="6">
        <f>Assumptions!$B$24</f>
        <v>3000</v>
      </c>
      <c r="H31" s="6">
        <f>Assumptions!$B$26</f>
        <v>5000</v>
      </c>
      <c r="I31" s="6">
        <f t="shared" si="0"/>
        <v>66305.89952760181</v>
      </c>
    </row>
    <row r="32" spans="1:9" x14ac:dyDescent="0.3">
      <c r="A32" s="4">
        <v>28</v>
      </c>
      <c r="B32" s="6">
        <f>'Court Revenue (36m)'!R72</f>
        <v>34424.346051430177</v>
      </c>
      <c r="C32" s="9">
        <f>(1+Assumptions!$B$18)*C31</f>
        <v>186.67281611707881</v>
      </c>
      <c r="D32" s="6">
        <f>C32*Assumptions!$B$17</f>
        <v>17183.232723577104</v>
      </c>
      <c r="E32" s="6">
        <f>Assumptions!$B$19*4.33*Assumptions!$B$20</f>
        <v>6754.8</v>
      </c>
      <c r="F32" s="6">
        <f>(Assumptions!$B$21*Assumptions!$B$22*Assumptions!$B$23)/12</f>
        <v>1000</v>
      </c>
      <c r="G32" s="6">
        <f>Assumptions!$B$24</f>
        <v>3000</v>
      </c>
      <c r="H32" s="6">
        <f>Assumptions!$B$26</f>
        <v>5000</v>
      </c>
      <c r="I32" s="6">
        <f t="shared" si="0"/>
        <v>67549.051591124356</v>
      </c>
    </row>
    <row r="33" spans="1:9" x14ac:dyDescent="0.3">
      <c r="A33" s="4">
        <v>29</v>
      </c>
      <c r="B33" s="6">
        <f>'Court Revenue (36m)'!R73</f>
        <v>34697.355045001401</v>
      </c>
      <c r="C33" s="9">
        <f>(1+Assumptions!$B$18)*C32</f>
        <v>196.00645692293276</v>
      </c>
      <c r="D33" s="6">
        <f>C33*Assumptions!$B$17</f>
        <v>18042.394359755959</v>
      </c>
      <c r="E33" s="6">
        <f>Assumptions!$B$19*4.33*Assumptions!$B$20</f>
        <v>6754.8</v>
      </c>
      <c r="F33" s="6">
        <f>(Assumptions!$B$21*Assumptions!$B$22*Assumptions!$B$23)/12</f>
        <v>1000</v>
      </c>
      <c r="G33" s="6">
        <f>Assumptions!$B$24</f>
        <v>3000</v>
      </c>
      <c r="H33" s="6">
        <f>Assumptions!$B$26</f>
        <v>5000</v>
      </c>
      <c r="I33" s="6">
        <f t="shared" si="0"/>
        <v>68690.555861680303</v>
      </c>
    </row>
    <row r="34" spans="1:9" x14ac:dyDescent="0.3">
      <c r="A34" s="4">
        <v>30</v>
      </c>
      <c r="B34" s="6">
        <f>'Court Revenue (36m)'!R74</f>
        <v>31277.236086596462</v>
      </c>
      <c r="C34" s="9">
        <f>(1+Assumptions!$B$18)*C33</f>
        <v>205.80677976907941</v>
      </c>
      <c r="D34" s="6">
        <f>C34*Assumptions!$B$17</f>
        <v>18944.514077743759</v>
      </c>
      <c r="E34" s="6">
        <f>Assumptions!$B$19*4.33*Assumptions!$B$20</f>
        <v>6754.8</v>
      </c>
      <c r="F34" s="6">
        <f>(Assumptions!$B$21*Assumptions!$B$22*Assumptions!$B$23)/12</f>
        <v>1000</v>
      </c>
      <c r="G34" s="6">
        <f>Assumptions!$B$24</f>
        <v>3000</v>
      </c>
      <c r="H34" s="6">
        <f>Assumptions!$B$26</f>
        <v>5000</v>
      </c>
      <c r="I34" s="6">
        <f t="shared" si="0"/>
        <v>66182.356944109299</v>
      </c>
    </row>
    <row r="35" spans="1:9" x14ac:dyDescent="0.3">
      <c r="A35" s="4">
        <v>31</v>
      </c>
      <c r="B35" s="6">
        <f>'Court Revenue (36m)'!R75</f>
        <v>31518.030018926285</v>
      </c>
      <c r="C35" s="9">
        <f>(1+Assumptions!$B$18)*C34</f>
        <v>216.09711875753339</v>
      </c>
      <c r="D35" s="6">
        <f>C35*Assumptions!$B$17</f>
        <v>19891.739781630949</v>
      </c>
      <c r="E35" s="6">
        <f>Assumptions!$B$19*4.33*Assumptions!$B$20</f>
        <v>6754.8</v>
      </c>
      <c r="F35" s="6">
        <f>(Assumptions!$B$21*Assumptions!$B$22*Assumptions!$B$23)/12</f>
        <v>1000</v>
      </c>
      <c r="G35" s="6">
        <f>Assumptions!$B$24</f>
        <v>3000</v>
      </c>
      <c r="H35" s="6">
        <f>Assumptions!$B$26</f>
        <v>5000</v>
      </c>
      <c r="I35" s="6">
        <f t="shared" si="0"/>
        <v>67380.666919314768</v>
      </c>
    </row>
    <row r="36" spans="1:9" x14ac:dyDescent="0.3">
      <c r="A36" s="4">
        <v>32</v>
      </c>
      <c r="B36" s="6">
        <f>'Court Revenue (36m)'!R76</f>
        <v>31770.863647872597</v>
      </c>
      <c r="C36" s="9">
        <f>(1+Assumptions!$B$18)*C35</f>
        <v>226.90197469541008</v>
      </c>
      <c r="D36" s="6">
        <f>C36*Assumptions!$B$17</f>
        <v>20886.326770712498</v>
      </c>
      <c r="E36" s="6">
        <f>Assumptions!$B$19*4.33*Assumptions!$B$20</f>
        <v>6754.8</v>
      </c>
      <c r="F36" s="6">
        <f>(Assumptions!$B$21*Assumptions!$B$22*Assumptions!$B$23)/12</f>
        <v>1000</v>
      </c>
      <c r="G36" s="6">
        <f>Assumptions!$B$24</f>
        <v>3000</v>
      </c>
      <c r="H36" s="6">
        <f>Assumptions!$B$26</f>
        <v>5000</v>
      </c>
      <c r="I36" s="6">
        <f t="shared" si="0"/>
        <v>68638.892393280505</v>
      </c>
    </row>
    <row r="37" spans="1:9" x14ac:dyDescent="0.3">
      <c r="A37" s="4">
        <v>33</v>
      </c>
      <c r="B37" s="6">
        <f>'Court Revenue (36m)'!R77</f>
        <v>34285.509034055744</v>
      </c>
      <c r="C37" s="9">
        <f>(1+Assumptions!$B$18)*C36</f>
        <v>238.24707343018059</v>
      </c>
      <c r="D37" s="6">
        <f>C37*Assumptions!$B$17</f>
        <v>21930.643109248122</v>
      </c>
      <c r="E37" s="6">
        <f>Assumptions!$B$19*4.33*Assumptions!$B$20</f>
        <v>6754.8</v>
      </c>
      <c r="F37" s="6">
        <f>(Assumptions!$B$21*Assumptions!$B$22*Assumptions!$B$23)/12</f>
        <v>1000</v>
      </c>
      <c r="G37" s="6">
        <f>Assumptions!$B$24</f>
        <v>3000</v>
      </c>
      <c r="H37" s="6">
        <f>Assumptions!$B$26</f>
        <v>5000</v>
      </c>
      <c r="I37" s="6">
        <f t="shared" si="0"/>
        <v>72209.19921673405</v>
      </c>
    </row>
    <row r="38" spans="1:9" x14ac:dyDescent="0.3">
      <c r="A38" s="4">
        <v>34</v>
      </c>
      <c r="B38" s="6">
        <f>'Court Revenue (36m)'!R78</f>
        <v>33681.552702910238</v>
      </c>
      <c r="C38" s="9">
        <f>(1+Assumptions!$B$18)*C37</f>
        <v>250.15942710168963</v>
      </c>
      <c r="D38" s="6">
        <f>C38*Assumptions!$B$17</f>
        <v>23027.175264710531</v>
      </c>
      <c r="E38" s="6">
        <f>Assumptions!$B$19*4.33*Assumptions!$B$20</f>
        <v>6754.8</v>
      </c>
      <c r="F38" s="6">
        <f>(Assumptions!$B$21*Assumptions!$B$22*Assumptions!$B$23)/12</f>
        <v>1000</v>
      </c>
      <c r="G38" s="6">
        <f>Assumptions!$B$24</f>
        <v>3000</v>
      </c>
      <c r="H38" s="6">
        <f>Assumptions!$B$26</f>
        <v>5000</v>
      </c>
      <c r="I38" s="6">
        <f t="shared" si="0"/>
        <v>72713.687394722452</v>
      </c>
    </row>
    <row r="39" spans="1:9" x14ac:dyDescent="0.3">
      <c r="A39" s="4">
        <v>35</v>
      </c>
      <c r="B39" s="6">
        <f>'Court Revenue (36m)'!R79</f>
        <v>32766.90729756968</v>
      </c>
      <c r="C39" s="9">
        <f>(1+Assumptions!$B$18)*C38</f>
        <v>262.66739845677409</v>
      </c>
      <c r="D39" s="6">
        <f>C39*Assumptions!$B$17</f>
        <v>24178.534027946054</v>
      </c>
      <c r="E39" s="6">
        <f>Assumptions!$B$19*4.33*Assumptions!$B$20</f>
        <v>6754.8</v>
      </c>
      <c r="F39" s="6">
        <f>(Assumptions!$B$21*Assumptions!$B$22*Assumptions!$B$23)/12</f>
        <v>1000</v>
      </c>
      <c r="G39" s="6">
        <f>Assumptions!$B$24</f>
        <v>3000</v>
      </c>
      <c r="H39" s="6">
        <f>Assumptions!$B$26</f>
        <v>5000</v>
      </c>
      <c r="I39" s="6">
        <f t="shared" si="0"/>
        <v>72962.908723972505</v>
      </c>
    </row>
    <row r="40" spans="1:9" x14ac:dyDescent="0.3">
      <c r="A40" s="4">
        <v>36</v>
      </c>
      <c r="B40" s="6">
        <f>'Court Revenue (36m)'!R80</f>
        <v>31230.303016597551</v>
      </c>
      <c r="C40" s="9">
        <f>(1+Assumptions!$B$18)*C39</f>
        <v>275.8007683796128</v>
      </c>
      <c r="D40" s="6">
        <f>C40*Assumptions!$B$17</f>
        <v>25387.460729343358</v>
      </c>
      <c r="E40" s="6">
        <f>Assumptions!$B$19*4.33*Assumptions!$B$20</f>
        <v>6754.8</v>
      </c>
      <c r="F40" s="6">
        <f>(Assumptions!$B$21*Assumptions!$B$22*Assumptions!$B$23)/12</f>
        <v>1000</v>
      </c>
      <c r="G40" s="6">
        <f>Assumptions!$B$24</f>
        <v>3000</v>
      </c>
      <c r="H40" s="6">
        <f>Assumptions!$B$26</f>
        <v>5000</v>
      </c>
      <c r="I40" s="6">
        <f t="shared" si="0"/>
        <v>72648.364514320521</v>
      </c>
    </row>
    <row r="41" spans="1:9" x14ac:dyDescent="0.3">
      <c r="A41" s="4">
        <v>37</v>
      </c>
      <c r="B41" s="6">
        <f>'Court Revenue (36m)'!R81</f>
        <v>32373.152450570571</v>
      </c>
      <c r="C41" s="9">
        <f>(1+Assumptions!$B$18)*C40</f>
        <v>289.59080679859346</v>
      </c>
      <c r="D41" s="6">
        <f>C41*Assumptions!$B$17</f>
        <v>26656.833765810527</v>
      </c>
      <c r="E41" s="6">
        <f>Assumptions!$B$19*4.33*Assumptions!$B$20</f>
        <v>6754.8</v>
      </c>
      <c r="F41" s="6">
        <f>(Assumptions!$B$21*Assumptions!$B$22*Assumptions!$B$23)/12</f>
        <v>1000</v>
      </c>
      <c r="G41" s="6">
        <f>Assumptions!$B$24</f>
        <v>3000</v>
      </c>
      <c r="H41" s="6">
        <f>Assumptions!$B$26</f>
        <v>5000</v>
      </c>
      <c r="I41" s="6">
        <f>SUM(B41:H41)</f>
        <v>75074.377023179695</v>
      </c>
    </row>
    <row r="42" spans="1:9" x14ac:dyDescent="0.3">
      <c r="A42" s="4">
        <v>38</v>
      </c>
      <c r="B42" s="6">
        <f>'Court Revenue (36m)'!R82</f>
        <v>38485.925273460678</v>
      </c>
      <c r="C42" s="9">
        <f>(1+Assumptions!$B$18)*C41</f>
        <v>304.07034713852318</v>
      </c>
      <c r="D42" s="6">
        <f>C42*Assumptions!$B$17</f>
        <v>27989.675454101056</v>
      </c>
      <c r="E42" s="6">
        <f>Assumptions!$B$19*4.33*Assumptions!$B$20</f>
        <v>6754.8</v>
      </c>
      <c r="F42" s="6">
        <f>(Assumptions!$B$21*Assumptions!$B$22*Assumptions!$B$23)/12</f>
        <v>1000</v>
      </c>
      <c r="G42" s="6">
        <f>Assumptions!$B$24</f>
        <v>3000</v>
      </c>
      <c r="H42" s="6">
        <f>Assumptions!$B$26</f>
        <v>5000</v>
      </c>
      <c r="I42" s="6">
        <f t="shared" ref="I42:I48" si="1">SUM(B42:H42)</f>
        <v>82534.471074700254</v>
      </c>
    </row>
    <row r="43" spans="1:9" x14ac:dyDescent="0.3">
      <c r="A43" s="4">
        <v>39</v>
      </c>
      <c r="B43" s="6">
        <f>'Court Revenue (36m)'!R83</f>
        <v>39407.623309706971</v>
      </c>
      <c r="C43" s="9">
        <f>(1+Assumptions!$B$18)*C42</f>
        <v>319.27386449544935</v>
      </c>
      <c r="D43" s="6">
        <f>C43*Assumptions!$B$17</f>
        <v>29389.15922680611</v>
      </c>
      <c r="E43" s="6">
        <f>Assumptions!$B$19*4.33*Assumptions!$B$20</f>
        <v>6754.8</v>
      </c>
      <c r="F43" s="6">
        <f>(Assumptions!$B$21*Assumptions!$B$22*Assumptions!$B$23)/12</f>
        <v>1000</v>
      </c>
      <c r="G43" s="6">
        <f>Assumptions!$B$24</f>
        <v>3000</v>
      </c>
      <c r="H43" s="6">
        <f>Assumptions!$B$26</f>
        <v>5000</v>
      </c>
      <c r="I43" s="6">
        <f t="shared" si="1"/>
        <v>84870.856401008539</v>
      </c>
    </row>
    <row r="44" spans="1:9" x14ac:dyDescent="0.3">
      <c r="A44" s="4">
        <v>40</v>
      </c>
      <c r="B44" s="6">
        <f>'Court Revenue (36m)'!R84</f>
        <v>40012.487645993591</v>
      </c>
      <c r="C44" s="9">
        <f>(1+Assumptions!$B$18)*C43</f>
        <v>335.23755772022184</v>
      </c>
      <c r="D44" s="6">
        <f>C44*Assumptions!$B$17</f>
        <v>30858.617188146422</v>
      </c>
      <c r="E44" s="6">
        <f>Assumptions!$B$19*4.33*Assumptions!$B$20</f>
        <v>6754.8</v>
      </c>
      <c r="F44" s="6">
        <f>(Assumptions!$B$21*Assumptions!$B$22*Assumptions!$B$23)/12</f>
        <v>1000</v>
      </c>
      <c r="G44" s="6">
        <f>Assumptions!$B$24</f>
        <v>3000</v>
      </c>
      <c r="H44" s="6">
        <f>Assumptions!$B$26</f>
        <v>5000</v>
      </c>
      <c r="I44" s="6">
        <f t="shared" si="1"/>
        <v>86961.142391860238</v>
      </c>
    </row>
    <row r="45" spans="1:9" x14ac:dyDescent="0.3">
      <c r="A45" s="4">
        <v>41</v>
      </c>
      <c r="B45" s="6">
        <f>'Court Revenue (36m)'!R85</f>
        <v>40689.935702634626</v>
      </c>
      <c r="C45" s="9">
        <f>(1+Assumptions!$B$18)*C44</f>
        <v>351.99943560623296</v>
      </c>
      <c r="D45" s="6">
        <f>C45*Assumptions!$B$17</f>
        <v>32401.548047553744</v>
      </c>
      <c r="E45" s="6">
        <f>Assumptions!$B$19*4.33*Assumptions!$B$20</f>
        <v>6754.8</v>
      </c>
      <c r="F45" s="6">
        <f>(Assumptions!$B$21*Assumptions!$B$22*Assumptions!$B$23)/12</f>
        <v>1000</v>
      </c>
      <c r="G45" s="6">
        <f>Assumptions!$B$24</f>
        <v>3000</v>
      </c>
      <c r="H45" s="6">
        <f>Assumptions!$B$26</f>
        <v>5000</v>
      </c>
      <c r="I45" s="6">
        <f t="shared" si="1"/>
        <v>89198.2831857946</v>
      </c>
    </row>
    <row r="46" spans="1:9" x14ac:dyDescent="0.3">
      <c r="A46" s="4">
        <v>42</v>
      </c>
      <c r="B46" s="6">
        <f>'Court Revenue (36m)'!R86</f>
        <v>40512.10558776636</v>
      </c>
      <c r="C46" s="9">
        <f>(1+Assumptions!$B$18)*C45</f>
        <v>369.59940738654461</v>
      </c>
      <c r="D46" s="6">
        <f>C46*Assumptions!$B$17</f>
        <v>34021.625449931431</v>
      </c>
      <c r="E46" s="6">
        <f>Assumptions!$B$19*4.33*Assumptions!$B$20</f>
        <v>6754.8</v>
      </c>
      <c r="F46" s="6">
        <f>(Assumptions!$B$21*Assumptions!$B$22*Assumptions!$B$23)/12</f>
        <v>1000</v>
      </c>
      <c r="G46" s="6">
        <f>Assumptions!$B$24</f>
        <v>3000</v>
      </c>
      <c r="H46" s="6">
        <f>Assumptions!$B$26</f>
        <v>5000</v>
      </c>
      <c r="I46" s="6">
        <f t="shared" si="1"/>
        <v>90658.130445084345</v>
      </c>
    </row>
    <row r="47" spans="1:9" x14ac:dyDescent="0.3">
      <c r="A47" s="4">
        <v>43</v>
      </c>
      <c r="B47" s="6">
        <f>'Court Revenue (36m)'!R87</f>
        <v>40325.383967154667</v>
      </c>
      <c r="C47" s="9">
        <f>(1+Assumptions!$B$18)*C46</f>
        <v>388.07937775587186</v>
      </c>
      <c r="D47" s="6">
        <f>C47*Assumptions!$B$17</f>
        <v>35722.706722428004</v>
      </c>
      <c r="E47" s="6">
        <f>Assumptions!$B$19*4.33*Assumptions!$B$20</f>
        <v>6754.8</v>
      </c>
      <c r="F47" s="6">
        <f>(Assumptions!$B$21*Assumptions!$B$22*Assumptions!$B$23)/12</f>
        <v>1000</v>
      </c>
      <c r="G47" s="6">
        <f>Assumptions!$B$24</f>
        <v>3000</v>
      </c>
      <c r="H47" s="6">
        <f>Assumptions!$B$26</f>
        <v>5000</v>
      </c>
      <c r="I47" s="6">
        <f t="shared" si="1"/>
        <v>92190.970067338538</v>
      </c>
    </row>
    <row r="48" spans="1:9" x14ac:dyDescent="0.3">
      <c r="A48" s="4">
        <v>44</v>
      </c>
      <c r="B48" s="6">
        <f>'Court Revenue (36m)'!R88</f>
        <v>39100.023331890508</v>
      </c>
      <c r="C48" s="9">
        <f>(1+Assumptions!$B$18)*C47</f>
        <v>407.48334664366547</v>
      </c>
      <c r="D48" s="6">
        <f>C48*Assumptions!$B$17</f>
        <v>37508.842058549402</v>
      </c>
      <c r="E48" s="6">
        <f>Assumptions!$B$19*4.33*Assumptions!$B$20</f>
        <v>6754.8</v>
      </c>
      <c r="F48" s="6">
        <f>(Assumptions!$B$21*Assumptions!$B$22*Assumptions!$B$23)/12</f>
        <v>1000</v>
      </c>
      <c r="G48" s="6">
        <f>Assumptions!$B$24</f>
        <v>3000</v>
      </c>
      <c r="H48" s="6">
        <f>Assumptions!$B$26</f>
        <v>5000</v>
      </c>
      <c r="I48" s="6">
        <f t="shared" si="1"/>
        <v>92771.148737083582</v>
      </c>
    </row>
    <row r="49" spans="1:9" x14ac:dyDescent="0.3">
      <c r="A49" s="4">
        <v>45</v>
      </c>
      <c r="B49" s="6">
        <f>'Court Revenue (36m)'!R89</f>
        <v>37761.929518182034</v>
      </c>
      <c r="C49" s="9">
        <f>(1+Assumptions!$B$18)*C48</f>
        <v>427.85751397584875</v>
      </c>
      <c r="D49" s="6">
        <f>C49*Assumptions!$B$17</f>
        <v>39384.284161476877</v>
      </c>
      <c r="E49" s="6">
        <f>Assumptions!$B$19*4.33*Assumptions!$B$20</f>
        <v>6754.8</v>
      </c>
      <c r="F49" s="6">
        <f>(Assumptions!$B$21*Assumptions!$B$22*Assumptions!$B$23)/12</f>
        <v>1000</v>
      </c>
      <c r="G49" s="6">
        <f>Assumptions!$B$24</f>
        <v>3000</v>
      </c>
      <c r="H49" s="6">
        <f>Assumptions!$B$26</f>
        <v>5000</v>
      </c>
      <c r="I49" s="6">
        <f t="shared" ref="I49:I51" si="2">SUM(B49:H49)</f>
        <v>93328.871193634768</v>
      </c>
    </row>
    <row r="50" spans="1:9" x14ac:dyDescent="0.3">
      <c r="A50" s="4">
        <v>46</v>
      </c>
      <c r="B50" s="6">
        <f>'Court Revenue (36m)'!R90</f>
        <v>36336.221816605554</v>
      </c>
      <c r="C50" s="9">
        <f>(1+Assumptions!$B$18)*C49</f>
        <v>449.25038967464121</v>
      </c>
      <c r="D50" s="6">
        <f>C50*Assumptions!$B$17</f>
        <v>41353.498369550725</v>
      </c>
      <c r="E50" s="6">
        <f>Assumptions!$B$19*4.33*Assumptions!$B$20</f>
        <v>6754.8</v>
      </c>
      <c r="F50" s="6">
        <f>(Assumptions!$B$21*Assumptions!$B$22*Assumptions!$B$23)/12</f>
        <v>1000</v>
      </c>
      <c r="G50" s="6">
        <f>Assumptions!$B$24</f>
        <v>3000</v>
      </c>
      <c r="H50" s="6">
        <f>Assumptions!$B$26</f>
        <v>5000</v>
      </c>
      <c r="I50" s="6">
        <f t="shared" si="2"/>
        <v>93893.770575830931</v>
      </c>
    </row>
    <row r="51" spans="1:9" x14ac:dyDescent="0.3">
      <c r="A51" s="4">
        <v>47</v>
      </c>
      <c r="B51" s="6">
        <f>'Court Revenue (36m)'!R91</f>
        <v>35559.917143247767</v>
      </c>
      <c r="C51" s="9">
        <f>(1+Assumptions!$B$18)*C50</f>
        <v>471.71290915837329</v>
      </c>
      <c r="D51" s="6">
        <f>C51*Assumptions!$B$17</f>
        <v>43421.173288028258</v>
      </c>
      <c r="E51" s="6">
        <f>Assumptions!$B$19*4.33*Assumptions!$B$20</f>
        <v>6754.8</v>
      </c>
      <c r="F51" s="6">
        <f>(Assumptions!$B$21*Assumptions!$B$22*Assumptions!$B$23)/12</f>
        <v>1000</v>
      </c>
      <c r="G51" s="6">
        <f>Assumptions!$B$24</f>
        <v>3000</v>
      </c>
      <c r="H51" s="6">
        <f>Assumptions!$B$26</f>
        <v>5000</v>
      </c>
      <c r="I51" s="6">
        <f t="shared" si="2"/>
        <v>95207.603340434391</v>
      </c>
    </row>
    <row r="52" spans="1:9" x14ac:dyDescent="0.3">
      <c r="A52" s="4">
        <v>48</v>
      </c>
      <c r="B52" s="6">
        <f>'Court Revenue (36m)'!R92</f>
        <v>35424.06382541015</v>
      </c>
      <c r="C52" s="9">
        <f>(1+Assumptions!$B$18)*C51</f>
        <v>495.29855461629199</v>
      </c>
      <c r="D52" s="6">
        <f>C52*Assumptions!$B$17</f>
        <v>45592.231952429676</v>
      </c>
      <c r="E52" s="6">
        <f>Assumptions!$B$19*4.33*Assumptions!$B$20</f>
        <v>6754.8</v>
      </c>
      <c r="F52" s="6">
        <f>(Assumptions!$B$21*Assumptions!$B$22*Assumptions!$B$23)/12</f>
        <v>1000</v>
      </c>
      <c r="G52" s="6">
        <f>Assumptions!$B$24</f>
        <v>3000</v>
      </c>
      <c r="H52" s="6">
        <f>Assumptions!$B$26</f>
        <v>5000</v>
      </c>
      <c r="I52" s="6">
        <f t="shared" ref="I52" si="3">SUM(B52:H52)</f>
        <v>97266.394332456126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11.5546875" bestFit="1" customWidth="1"/>
    <col min="3" max="3" width="9.88671875" bestFit="1" customWidth="1"/>
    <col min="4" max="4" width="13.5546875" bestFit="1" customWidth="1"/>
    <col min="5" max="5" width="22" bestFit="1" customWidth="1"/>
  </cols>
  <sheetData>
    <row r="1" spans="1:5" ht="18" x14ac:dyDescent="0.35">
      <c r="A1" s="32" t="s">
        <v>92</v>
      </c>
      <c r="B1" s="32"/>
      <c r="C1" s="32"/>
      <c r="D1" s="32"/>
      <c r="E1" s="32"/>
    </row>
    <row r="3" spans="1:5" x14ac:dyDescent="0.3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</row>
    <row r="4" spans="1:5" x14ac:dyDescent="0.3">
      <c r="A4" t="s">
        <v>98</v>
      </c>
      <c r="B4" s="4">
        <f>Assumptions!B28</f>
        <v>196</v>
      </c>
      <c r="C4" s="6">
        <f>Assumptions!B29</f>
        <v>18</v>
      </c>
      <c r="D4" s="6">
        <f>B4*C4</f>
        <v>3528</v>
      </c>
      <c r="E4" s="6">
        <f>D4*4.33</f>
        <v>15276.24</v>
      </c>
    </row>
    <row r="5" spans="1:5" x14ac:dyDescent="0.3">
      <c r="A5" t="s">
        <v>99</v>
      </c>
      <c r="B5" s="4">
        <f>Assumptions!B30</f>
        <v>40</v>
      </c>
      <c r="C5" s="6">
        <f>Assumptions!B31</f>
        <v>30</v>
      </c>
      <c r="D5" s="6">
        <f>B5*C5</f>
        <v>1200</v>
      </c>
      <c r="E5" s="6">
        <f>D5*4.33</f>
        <v>5196</v>
      </c>
    </row>
    <row r="6" spans="1:5" x14ac:dyDescent="0.3">
      <c r="A6" t="s">
        <v>90</v>
      </c>
      <c r="B6" s="4">
        <f>Assumptions!B32</f>
        <v>60</v>
      </c>
      <c r="C6" s="6">
        <f>Assumptions!B33</f>
        <v>17</v>
      </c>
      <c r="D6" s="6">
        <f>B6*C6</f>
        <v>1020</v>
      </c>
      <c r="E6" s="6">
        <f>D6*4.33</f>
        <v>4416.6000000000004</v>
      </c>
    </row>
    <row r="7" spans="1:5" x14ac:dyDescent="0.3">
      <c r="A7" s="3" t="s">
        <v>100</v>
      </c>
      <c r="D7" s="6">
        <f>SUM(D4:D6)</f>
        <v>5748</v>
      </c>
      <c r="E7" s="6">
        <f>SUM(E4:E6)</f>
        <v>24888.839999999997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B7" sqref="B7"/>
    </sheetView>
  </sheetViews>
  <sheetFormatPr defaultRowHeight="14.4" x14ac:dyDescent="0.3"/>
  <cols>
    <col min="1" max="1" width="19.5546875" bestFit="1" customWidth="1"/>
    <col min="2" max="2" width="14.44140625" bestFit="1" customWidth="1"/>
    <col min="4" max="4" width="15.6640625" bestFit="1" customWidth="1"/>
    <col min="5" max="5" width="7.5546875" customWidth="1"/>
  </cols>
  <sheetData>
    <row r="1" spans="1:5" ht="18" x14ac:dyDescent="0.35">
      <c r="A1" s="32" t="s">
        <v>101</v>
      </c>
      <c r="B1" s="32"/>
      <c r="C1" s="32"/>
      <c r="D1" s="32"/>
      <c r="E1" s="32"/>
    </row>
    <row r="2" spans="1:5" x14ac:dyDescent="0.3">
      <c r="A2" s="34" t="s">
        <v>190</v>
      </c>
      <c r="B2" s="34"/>
    </row>
    <row r="3" spans="1:5" x14ac:dyDescent="0.3">
      <c r="A3" s="3" t="s">
        <v>1</v>
      </c>
      <c r="B3" s="3" t="s">
        <v>102</v>
      </c>
      <c r="D3" s="3" t="s">
        <v>111</v>
      </c>
    </row>
    <row r="4" spans="1:5" x14ac:dyDescent="0.3">
      <c r="A4" t="s">
        <v>103</v>
      </c>
      <c r="B4" s="6">
        <v>30000</v>
      </c>
      <c r="D4" t="s">
        <v>112</v>
      </c>
      <c r="E4" s="6">
        <f>Assumptions!B24*Assumptions!B25</f>
        <v>1650.0000000000002</v>
      </c>
    </row>
    <row r="5" spans="1:5" x14ac:dyDescent="0.3">
      <c r="A5" t="s">
        <v>104</v>
      </c>
      <c r="B5" s="6">
        <f>Assumptions!B35</f>
        <v>6000</v>
      </c>
      <c r="D5" t="s">
        <v>113</v>
      </c>
      <c r="E5" s="6">
        <f>Assumptions!B26*Assumptions!B27</f>
        <v>2250</v>
      </c>
    </row>
    <row r="6" spans="1:5" x14ac:dyDescent="0.3">
      <c r="A6" t="s">
        <v>105</v>
      </c>
      <c r="B6" s="6">
        <v>2000</v>
      </c>
      <c r="D6" t="s">
        <v>114</v>
      </c>
      <c r="E6" s="6">
        <f>E4+E5</f>
        <v>3900</v>
      </c>
    </row>
    <row r="7" spans="1:5" x14ac:dyDescent="0.3">
      <c r="A7" t="s">
        <v>106</v>
      </c>
      <c r="B7" s="6">
        <f>Assumptions!B37</f>
        <v>4000</v>
      </c>
    </row>
    <row r="8" spans="1:5" x14ac:dyDescent="0.3">
      <c r="A8" t="s">
        <v>107</v>
      </c>
      <c r="B8" s="6">
        <f>Assumptions!B38</f>
        <v>2000</v>
      </c>
    </row>
    <row r="9" spans="1:5" x14ac:dyDescent="0.3">
      <c r="A9" t="s">
        <v>108</v>
      </c>
      <c r="B9" s="6">
        <v>2200</v>
      </c>
    </row>
    <row r="10" spans="1:5" x14ac:dyDescent="0.3">
      <c r="A10" t="s">
        <v>109</v>
      </c>
      <c r="B10" s="6">
        <f>Assumptions!B40</f>
        <v>2000</v>
      </c>
    </row>
    <row r="11" spans="1:5" x14ac:dyDescent="0.3">
      <c r="A11" s="3" t="s">
        <v>110</v>
      </c>
      <c r="B11" s="6">
        <f>SUM(B4:B10)</f>
        <v>48200</v>
      </c>
    </row>
  </sheetData>
  <mergeCells count="2">
    <mergeCell ref="A1:E1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>
      <selection activeCell="H41" sqref="H41"/>
    </sheetView>
  </sheetViews>
  <sheetFormatPr defaultRowHeight="14.4" x14ac:dyDescent="0.3"/>
  <cols>
    <col min="1" max="1" width="6.77734375" bestFit="1" customWidth="1"/>
    <col min="2" max="2" width="13.109375" bestFit="1" customWidth="1"/>
    <col min="3" max="3" width="6.44140625" bestFit="1" customWidth="1"/>
    <col min="4" max="5" width="7.44140625" bestFit="1" customWidth="1"/>
    <col min="6" max="6" width="8.109375" bestFit="1" customWidth="1"/>
    <col min="7" max="7" width="7.44140625" bestFit="1" customWidth="1"/>
    <col min="8" max="8" width="8.109375" bestFit="1" customWidth="1"/>
  </cols>
  <sheetData>
    <row r="1" spans="1:8" ht="18" x14ac:dyDescent="0.35">
      <c r="A1" s="32" t="s">
        <v>115</v>
      </c>
      <c r="B1" s="32"/>
      <c r="C1" s="32"/>
      <c r="D1" s="32"/>
      <c r="E1" s="32"/>
      <c r="F1" s="32"/>
      <c r="G1" s="32"/>
      <c r="H1" s="32"/>
    </row>
    <row r="2" spans="1:8" x14ac:dyDescent="0.3">
      <c r="A2" s="34" t="s">
        <v>189</v>
      </c>
      <c r="B2" s="34"/>
      <c r="C2" s="34"/>
      <c r="D2" s="34"/>
      <c r="E2" s="34"/>
      <c r="F2" s="34"/>
      <c r="G2" s="34"/>
      <c r="H2" s="34"/>
    </row>
    <row r="3" spans="1:8" x14ac:dyDescent="0.3">
      <c r="A3" s="3" t="s">
        <v>84</v>
      </c>
      <c r="B3" s="3" t="s">
        <v>91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77</v>
      </c>
      <c r="H3" s="3" t="s">
        <v>120</v>
      </c>
    </row>
    <row r="4" spans="1:8" x14ac:dyDescent="0.3">
      <c r="A4" s="4">
        <v>1</v>
      </c>
      <c r="B4" s="6">
        <f>'Revenue Model'!I5</f>
        <v>60078.838000000003</v>
      </c>
      <c r="C4" s="6">
        <f>OPEX!E6</f>
        <v>3900</v>
      </c>
      <c r="D4" s="6">
        <f>'Staffing &amp; Payroll'!E7</f>
        <v>24888.839999999997</v>
      </c>
      <c r="E4" s="6">
        <f>OPEX!B11</f>
        <v>48200</v>
      </c>
      <c r="F4" s="6">
        <f t="shared" ref="F4:F39" si="0">B4-C4-D4-E4</f>
        <v>-16910.001999999993</v>
      </c>
      <c r="G4" s="6">
        <f>Financing!D4</f>
        <v>15833.333333333334</v>
      </c>
      <c r="H4" s="6">
        <f>F4-G4</f>
        <v>-32743.335333333329</v>
      </c>
    </row>
    <row r="5" spans="1:8" x14ac:dyDescent="0.3">
      <c r="A5" s="4">
        <v>2</v>
      </c>
      <c r="B5" s="6">
        <f>'Revenue Model'!I6</f>
        <v>61283.650500000003</v>
      </c>
      <c r="C5" s="6">
        <f>OPEX!E6</f>
        <v>3900</v>
      </c>
      <c r="D5" s="6">
        <f>'Staffing &amp; Payroll'!E7</f>
        <v>24888.839999999997</v>
      </c>
      <c r="E5" s="6">
        <f>OPEX!B11</f>
        <v>48200</v>
      </c>
      <c r="F5" s="6">
        <f t="shared" si="0"/>
        <v>-15705.189499999993</v>
      </c>
      <c r="G5" s="6">
        <f>Financing!D5</f>
        <v>15753.801089417659</v>
      </c>
      <c r="H5" s="6">
        <f t="shared" ref="H5:H40" si="1">F4-G4</f>
        <v>-32743.335333333329</v>
      </c>
    </row>
    <row r="6" spans="1:8" x14ac:dyDescent="0.3">
      <c r="A6" s="4">
        <v>3</v>
      </c>
      <c r="B6" s="6">
        <f>'Revenue Model'!I7</f>
        <v>56686.396125000007</v>
      </c>
      <c r="C6" s="6">
        <f>OPEX!E6</f>
        <v>3900</v>
      </c>
      <c r="D6" s="6">
        <f>'Staffing &amp; Payroll'!E7</f>
        <v>24888.839999999997</v>
      </c>
      <c r="E6" s="6">
        <f>OPEX!B11</f>
        <v>48200</v>
      </c>
      <c r="F6" s="6">
        <f t="shared" si="0"/>
        <v>-20302.44387499999</v>
      </c>
      <c r="G6" s="6">
        <f>Financing!D6</f>
        <v>15673.639215237652</v>
      </c>
      <c r="H6" s="6">
        <f t="shared" si="1"/>
        <v>-31458.990589417652</v>
      </c>
    </row>
    <row r="7" spans="1:8" x14ac:dyDescent="0.3">
      <c r="A7" s="4">
        <v>4</v>
      </c>
      <c r="B7" s="6">
        <f>'Revenue Model'!I8</f>
        <v>56499.218347500006</v>
      </c>
      <c r="C7" s="6">
        <f>OPEX!E6</f>
        <v>3900</v>
      </c>
      <c r="D7" s="6">
        <f>'Staffing &amp; Payroll'!E7</f>
        <v>24888.839999999997</v>
      </c>
      <c r="E7" s="6">
        <f>OPEX!B11</f>
        <v>48200</v>
      </c>
      <c r="F7" s="6">
        <f t="shared" si="0"/>
        <v>-20489.621652499991</v>
      </c>
      <c r="G7" s="6">
        <f>Financing!D7</f>
        <v>15592.842726220386</v>
      </c>
      <c r="H7" s="6">
        <f t="shared" si="1"/>
        <v>-35976.08309023764</v>
      </c>
    </row>
    <row r="8" spans="1:8" x14ac:dyDescent="0.3">
      <c r="A8" s="4">
        <v>5</v>
      </c>
      <c r="B8" s="6">
        <f>'Revenue Model'!I9</f>
        <v>53081.767518750006</v>
      </c>
      <c r="C8" s="6">
        <f>OPEX!E6</f>
        <v>3900</v>
      </c>
      <c r="D8" s="6">
        <f>'Staffing &amp; Payroll'!E7</f>
        <v>24888.839999999997</v>
      </c>
      <c r="E8" s="6">
        <f>OPEX!B11</f>
        <v>48200</v>
      </c>
      <c r="F8" s="6">
        <f t="shared" si="0"/>
        <v>-23907.07248124999</v>
      </c>
      <c r="G8" s="6">
        <f>Financing!D8</f>
        <v>15511.406598331734</v>
      </c>
      <c r="H8" s="6">
        <f t="shared" si="1"/>
        <v>-36082.464378720375</v>
      </c>
    </row>
    <row r="9" spans="1:8" x14ac:dyDescent="0.3">
      <c r="A9" s="4">
        <v>6</v>
      </c>
      <c r="B9" s="6">
        <f>'Revenue Model'!I10</f>
        <v>49647.306837656259</v>
      </c>
      <c r="C9" s="6">
        <f>OPEX!E6</f>
        <v>3900</v>
      </c>
      <c r="D9" s="6">
        <f>'Staffing &amp; Payroll'!E7</f>
        <v>24888.839999999997</v>
      </c>
      <c r="E9" s="6">
        <f>OPEX!B11</f>
        <v>48200</v>
      </c>
      <c r="F9" s="6">
        <f t="shared" si="0"/>
        <v>-27341.533162343738</v>
      </c>
      <c r="G9" s="6">
        <f>Financing!D9</f>
        <v>15429.325767763963</v>
      </c>
      <c r="H9" s="6">
        <f t="shared" si="1"/>
        <v>-39418.479079581724</v>
      </c>
    </row>
    <row r="10" spans="1:8" x14ac:dyDescent="0.3">
      <c r="A10" s="4">
        <v>7</v>
      </c>
      <c r="B10" s="6">
        <f>'Revenue Model'!I11</f>
        <v>50018.864307539072</v>
      </c>
      <c r="C10" s="6">
        <f>OPEX!E6</f>
        <v>3900</v>
      </c>
      <c r="D10" s="6">
        <f>'Staffing &amp; Payroll'!E7</f>
        <v>24888.839999999997</v>
      </c>
      <c r="E10" s="6">
        <f>OPEX!B11</f>
        <v>48200</v>
      </c>
      <c r="F10" s="6">
        <f t="shared" si="0"/>
        <v>-26969.975692460925</v>
      </c>
      <c r="G10" s="6">
        <f>Financing!D10</f>
        <v>15346.595130620863</v>
      </c>
      <c r="H10" s="6">
        <f t="shared" si="1"/>
        <v>-42770.858930107701</v>
      </c>
    </row>
    <row r="11" spans="1:8" x14ac:dyDescent="0.3">
      <c r="A11" s="4">
        <v>8</v>
      </c>
      <c r="B11" s="6">
        <f>'Revenue Model'!I12</f>
        <v>50408.999650916026</v>
      </c>
      <c r="C11" s="6">
        <f>OPEX!E6</f>
        <v>3900</v>
      </c>
      <c r="D11" s="6">
        <f>'Staffing &amp; Payroll'!E7</f>
        <v>24888.839999999997</v>
      </c>
      <c r="E11" s="6">
        <f>OPEX!B11</f>
        <v>48200</v>
      </c>
      <c r="F11" s="6">
        <f t="shared" si="0"/>
        <v>-26579.84034908397</v>
      </c>
      <c r="G11" s="6">
        <f>Financing!D11</f>
        <v>15263.20954260038</v>
      </c>
      <c r="H11" s="6">
        <f t="shared" si="1"/>
        <v>-42316.570823081784</v>
      </c>
    </row>
    <row r="12" spans="1:8" x14ac:dyDescent="0.3">
      <c r="A12" s="4">
        <v>9</v>
      </c>
      <c r="B12" s="6">
        <f>'Revenue Model'!I13</f>
        <v>54683.586838770127</v>
      </c>
      <c r="C12" s="6">
        <f>OPEX!E6</f>
        <v>3900</v>
      </c>
      <c r="D12" s="6">
        <f>'Staffing &amp; Payroll'!E7</f>
        <v>24888.839999999997</v>
      </c>
      <c r="E12" s="6">
        <f>OPEX!B11</f>
        <v>48200</v>
      </c>
      <c r="F12" s="6">
        <f t="shared" si="0"/>
        <v>-22305.25316122987</v>
      </c>
      <c r="G12" s="6">
        <f>Financing!D12</f>
        <v>15179.163818674737</v>
      </c>
      <c r="H12" s="6">
        <f t="shared" si="1"/>
        <v>-41843.04989168435</v>
      </c>
    </row>
    <row r="13" spans="1:8" x14ac:dyDescent="0.3">
      <c r="A13" s="4">
        <v>10</v>
      </c>
      <c r="B13" s="6">
        <f>'Revenue Model'!I14</f>
        <v>58673.245518492622</v>
      </c>
      <c r="C13" s="6">
        <f>OPEX!E6</f>
        <v>3900</v>
      </c>
      <c r="D13" s="6">
        <f>'Staffing &amp; Payroll'!E7</f>
        <v>24888.839999999997</v>
      </c>
      <c r="E13" s="6">
        <f>OPEX!B11</f>
        <v>48200</v>
      </c>
      <c r="F13" s="6">
        <f t="shared" si="0"/>
        <v>-18315.594481507374</v>
      </c>
      <c r="G13" s="6">
        <f>Financing!D13</f>
        <v>15094.452732768013</v>
      </c>
      <c r="H13" s="6">
        <f t="shared" si="1"/>
        <v>-37484.416979904607</v>
      </c>
    </row>
    <row r="14" spans="1:8" x14ac:dyDescent="0.3">
      <c r="A14" s="4">
        <v>11</v>
      </c>
      <c r="B14" s="6">
        <f>'Revenue Model'!I15</f>
        <v>58750.521055251054</v>
      </c>
      <c r="C14" s="6">
        <f>OPEX!E6</f>
        <v>3900</v>
      </c>
      <c r="D14" s="6">
        <f>'Staffing &amp; Payroll'!E7</f>
        <v>24888.839999999997</v>
      </c>
      <c r="E14" s="6">
        <f>OPEX!B11</f>
        <v>48200</v>
      </c>
      <c r="F14" s="6">
        <f t="shared" si="0"/>
        <v>-18238.318944748942</v>
      </c>
      <c r="G14" s="6">
        <f>Financing!D14</f>
        <v>15009.071017431197</v>
      </c>
      <c r="H14" s="6">
        <f t="shared" si="1"/>
        <v>-33410.047214275386</v>
      </c>
    </row>
    <row r="15" spans="1:8" x14ac:dyDescent="0.3">
      <c r="A15" s="4">
        <v>12</v>
      </c>
      <c r="B15" s="6">
        <f>'Revenue Model'!I16</f>
        <v>58652.990989472753</v>
      </c>
      <c r="C15" s="6">
        <f>OPEX!E6</f>
        <v>3900</v>
      </c>
      <c r="D15" s="6">
        <f>'Staffing &amp; Payroll'!E7</f>
        <v>24888.839999999997</v>
      </c>
      <c r="E15" s="6">
        <f>OPEX!B11</f>
        <v>48200</v>
      </c>
      <c r="F15" s="6">
        <f t="shared" si="0"/>
        <v>-18335.849010527243</v>
      </c>
      <c r="G15" s="6">
        <f>Financing!D15</f>
        <v>14923.013363514629</v>
      </c>
      <c r="H15" s="6">
        <f t="shared" si="1"/>
        <v>-33247.389962180139</v>
      </c>
    </row>
    <row r="16" spans="1:8" x14ac:dyDescent="0.3">
      <c r="A16" s="4">
        <v>13</v>
      </c>
      <c r="B16" s="6">
        <f>'Revenue Model'!I17</f>
        <v>58967.479638946388</v>
      </c>
      <c r="C16" s="6">
        <f>OPEX!E6</f>
        <v>3900</v>
      </c>
      <c r="D16" s="6">
        <f>'Staffing &amp; Payroll'!E7</f>
        <v>24888.839999999997</v>
      </c>
      <c r="E16" s="6">
        <f>OPEX!B11</f>
        <v>48200</v>
      </c>
      <c r="F16" s="6">
        <f t="shared" si="0"/>
        <v>-18021.360361053608</v>
      </c>
      <c r="G16" s="6">
        <f>Financing!D16</f>
        <v>14836.27441983789</v>
      </c>
      <c r="H16" s="6">
        <f t="shared" si="1"/>
        <v>-33258.86237404187</v>
      </c>
    </row>
    <row r="17" spans="1:8" x14ac:dyDescent="0.3">
      <c r="A17" s="4">
        <v>14</v>
      </c>
      <c r="B17" s="6">
        <f>'Revenue Model'!I18</f>
        <v>59757.319699334999</v>
      </c>
      <c r="C17" s="6">
        <f>OPEX!E6</f>
        <v>3900</v>
      </c>
      <c r="D17" s="6">
        <f>'Staffing &amp; Payroll'!E7</f>
        <v>24888.839999999997</v>
      </c>
      <c r="E17" s="6">
        <f>OPEX!B11</f>
        <v>48200</v>
      </c>
      <c r="F17" s="6">
        <f t="shared" si="0"/>
        <v>-17231.520300664997</v>
      </c>
      <c r="G17" s="6">
        <f>Financing!D17</f>
        <v>14748.848792857041</v>
      </c>
      <c r="H17" s="6">
        <f t="shared" si="1"/>
        <v>-32857.634780891502</v>
      </c>
    </row>
    <row r="18" spans="1:8" x14ac:dyDescent="0.3">
      <c r="A18" s="4">
        <v>15</v>
      </c>
      <c r="B18" s="6">
        <f>'Revenue Model'!I19</f>
        <v>60127.024784301742</v>
      </c>
      <c r="C18" s="6">
        <f>OPEX!E6</f>
        <v>3900</v>
      </c>
      <c r="D18" s="6">
        <f>'Staffing &amp; Payroll'!E7</f>
        <v>24888.839999999997</v>
      </c>
      <c r="E18" s="6">
        <f>OPEX!B11</f>
        <v>48200</v>
      </c>
      <c r="F18" s="6">
        <f t="shared" si="0"/>
        <v>-16861.815215698254</v>
      </c>
      <c r="G18" s="6">
        <f>Financing!D18</f>
        <v>14660.731046329263</v>
      </c>
      <c r="H18" s="6">
        <f t="shared" si="1"/>
        <v>-31980.369093522037</v>
      </c>
    </row>
    <row r="19" spans="1:8" x14ac:dyDescent="0.3">
      <c r="A19" s="4">
        <v>16</v>
      </c>
      <c r="B19" s="6">
        <f>'Revenue Model'!I20</f>
        <v>60819.258369755742</v>
      </c>
      <c r="C19" s="6">
        <f>OPEX!E6</f>
        <v>3900</v>
      </c>
      <c r="D19" s="6">
        <f>'Staffing &amp; Payroll'!E7</f>
        <v>24888.839999999997</v>
      </c>
      <c r="E19" s="6">
        <f>OPEX!B11</f>
        <v>48200</v>
      </c>
      <c r="F19" s="6">
        <f t="shared" si="0"/>
        <v>-16169.581630244254</v>
      </c>
      <c r="G19" s="6">
        <f>Financing!D19</f>
        <v>14571.915700974805</v>
      </c>
      <c r="H19" s="6">
        <f t="shared" si="1"/>
        <v>-31522.546262027518</v>
      </c>
    </row>
    <row r="20" spans="1:8" x14ac:dyDescent="0.3">
      <c r="A20" s="4">
        <v>17</v>
      </c>
      <c r="B20" s="6">
        <f>'Revenue Model'!I21</f>
        <v>58997.224907955548</v>
      </c>
      <c r="C20" s="6">
        <f>OPEX!E6</f>
        <v>3900</v>
      </c>
      <c r="D20" s="6">
        <f>'Staffing &amp; Payroll'!E7</f>
        <v>24888.839999999997</v>
      </c>
      <c r="E20" s="6">
        <f>OPEX!B11</f>
        <v>48200</v>
      </c>
      <c r="F20" s="6">
        <f t="shared" si="0"/>
        <v>-17991.615092044449</v>
      </c>
      <c r="G20" s="6">
        <f>Financing!D20</f>
        <v>14482.397234136293</v>
      </c>
      <c r="H20" s="6">
        <f t="shared" si="1"/>
        <v>-30741.49733121906</v>
      </c>
    </row>
    <row r="21" spans="1:8" x14ac:dyDescent="0.3">
      <c r="A21" s="4">
        <v>18</v>
      </c>
      <c r="B21" s="6">
        <f>'Revenue Model'!I22</f>
        <v>55561.434095396529</v>
      </c>
      <c r="C21" s="6">
        <f>OPEX!E6</f>
        <v>3900</v>
      </c>
      <c r="D21" s="6">
        <f>'Staffing &amp; Payroll'!E7</f>
        <v>24888.839999999997</v>
      </c>
      <c r="E21" s="6">
        <f>OPEX!B11</f>
        <v>48200</v>
      </c>
      <c r="F21" s="6">
        <f t="shared" si="0"/>
        <v>-21427.405904603467</v>
      </c>
      <c r="G21" s="6">
        <f>Financing!D21</f>
        <v>14392.170079435307</v>
      </c>
      <c r="H21" s="6">
        <f t="shared" si="1"/>
        <v>-32474.012326180742</v>
      </c>
    </row>
    <row r="22" spans="1:8" x14ac:dyDescent="0.3">
      <c r="A22" s="4">
        <v>19</v>
      </c>
      <c r="B22" s="6">
        <f>'Revenue Model'!I23</f>
        <v>56228.697928166352</v>
      </c>
      <c r="C22" s="6">
        <f>OPEX!E6</f>
        <v>3900</v>
      </c>
      <c r="D22" s="6">
        <f>'Staffing &amp; Payroll'!E7</f>
        <v>24888.839999999997</v>
      </c>
      <c r="E22" s="6">
        <f>OPEX!B11</f>
        <v>48200</v>
      </c>
      <c r="F22" s="6">
        <f t="shared" si="0"/>
        <v>-20760.142071833645</v>
      </c>
      <c r="G22" s="6">
        <f>Financing!D22</f>
        <v>14301.228626426273</v>
      </c>
      <c r="H22" s="6">
        <f t="shared" si="1"/>
        <v>-35819.575984038776</v>
      </c>
    </row>
    <row r="23" spans="1:8" x14ac:dyDescent="0.3">
      <c r="A23" s="4">
        <v>20</v>
      </c>
      <c r="B23" s="6">
        <f>'Revenue Model'!I24</f>
        <v>56929.324952574672</v>
      </c>
      <c r="C23" s="6">
        <f>OPEX!E6</f>
        <v>3900</v>
      </c>
      <c r="D23" s="6">
        <f>'Staffing &amp; Payroll'!E7</f>
        <v>24888.839999999997</v>
      </c>
      <c r="E23" s="6">
        <f>OPEX!B11</f>
        <v>48200</v>
      </c>
      <c r="F23" s="6">
        <f t="shared" si="0"/>
        <v>-20059.515047425324</v>
      </c>
      <c r="G23" s="6">
        <f>Financing!D23</f>
        <v>14209.567220247583</v>
      </c>
      <c r="H23" s="6">
        <f t="shared" si="1"/>
        <v>-35061.370698259918</v>
      </c>
    </row>
    <row r="24" spans="1:8" x14ac:dyDescent="0.3">
      <c r="A24" s="4">
        <v>21</v>
      </c>
      <c r="B24" s="6">
        <f>'Revenue Model'!I25</f>
        <v>61873.862266958138</v>
      </c>
      <c r="C24" s="6">
        <f>OPEX!E6</f>
        <v>3900</v>
      </c>
      <c r="D24" s="6">
        <f>'Staffing &amp; Payroll'!E7</f>
        <v>24888.839999999997</v>
      </c>
      <c r="E24" s="6">
        <f>OPEX!B11</f>
        <v>48200</v>
      </c>
      <c r="F24" s="6">
        <f t="shared" si="0"/>
        <v>-15114.977733041858</v>
      </c>
      <c r="G24" s="6">
        <f>Financing!D24</f>
        <v>14117.18016126998</v>
      </c>
      <c r="H24" s="6">
        <f t="shared" si="1"/>
        <v>-34269.082267672908</v>
      </c>
    </row>
    <row r="25" spans="1:8" x14ac:dyDescent="0.3">
      <c r="A25" s="4">
        <v>22</v>
      </c>
      <c r="B25" s="6">
        <f>'Revenue Model'!I26</f>
        <v>63695.120836458693</v>
      </c>
      <c r="C25" s="6">
        <f>OPEX!E6</f>
        <v>3900</v>
      </c>
      <c r="D25" s="6">
        <f>'Staffing &amp; Payroll'!E7</f>
        <v>24888.839999999997</v>
      </c>
      <c r="E25" s="6">
        <f>OPEX!B11</f>
        <v>48200</v>
      </c>
      <c r="F25" s="6">
        <f t="shared" si="0"/>
        <v>-13293.719163541304</v>
      </c>
      <c r="G25" s="6">
        <f>Financing!D25</f>
        <v>14024.061704742138</v>
      </c>
      <c r="H25" s="6">
        <f t="shared" si="1"/>
        <v>-29232.157894311837</v>
      </c>
    </row>
    <row r="26" spans="1:8" x14ac:dyDescent="0.3">
      <c r="A26" s="4">
        <v>23</v>
      </c>
      <c r="B26" s="6">
        <f>'Revenue Model'!I27</f>
        <v>63833.896597993073</v>
      </c>
      <c r="C26" s="6">
        <f>OPEX!E6</f>
        <v>3900</v>
      </c>
      <c r="D26" s="6">
        <f>'Staffing &amp; Payroll'!E7</f>
        <v>24888.839999999997</v>
      </c>
      <c r="E26" s="6">
        <f>OPEX!B11</f>
        <v>48200</v>
      </c>
      <c r="F26" s="6">
        <f t="shared" si="0"/>
        <v>-13154.943402006924</v>
      </c>
      <c r="G26" s="6">
        <f>Financing!D26</f>
        <v>13930.206060433451</v>
      </c>
      <c r="H26" s="6">
        <f t="shared" si="1"/>
        <v>-27317.780868283444</v>
      </c>
    </row>
    <row r="27" spans="1:8" x14ac:dyDescent="0.3">
      <c r="A27" s="4">
        <v>24</v>
      </c>
      <c r="B27" s="6">
        <f>'Revenue Model'!I28</f>
        <v>63658.746612387768</v>
      </c>
      <c r="C27" s="6">
        <f>OPEX!E6</f>
        <v>3900</v>
      </c>
      <c r="D27" s="6">
        <f>'Staffing &amp; Payroll'!E7</f>
        <v>24888.839999999997</v>
      </c>
      <c r="E27" s="6">
        <f>OPEX!B11</f>
        <v>48200</v>
      </c>
      <c r="F27" s="6">
        <f t="shared" si="0"/>
        <v>-13330.093387612229</v>
      </c>
      <c r="G27" s="6">
        <f>Financing!D27</f>
        <v>13835.607392273985</v>
      </c>
      <c r="H27" s="6">
        <f t="shared" si="1"/>
        <v>-27085.149462440375</v>
      </c>
    </row>
    <row r="28" spans="1:8" x14ac:dyDescent="0.3">
      <c r="A28" s="4">
        <v>25</v>
      </c>
      <c r="B28" s="6">
        <f>'Revenue Model'!I29</f>
        <v>64223.523043007153</v>
      </c>
      <c r="C28" s="6">
        <f>OPEX!E6</f>
        <v>3900</v>
      </c>
      <c r="D28" s="6">
        <f>'Staffing &amp; Payroll'!E7</f>
        <v>24888.839999999997</v>
      </c>
      <c r="E28" s="6">
        <f>OPEX!B11</f>
        <v>48200</v>
      </c>
      <c r="F28" s="6">
        <f t="shared" si="0"/>
        <v>-12765.316956992843</v>
      </c>
      <c r="G28" s="6">
        <f>Financing!D28</f>
        <v>13740.259817991591</v>
      </c>
      <c r="H28" s="6">
        <f t="shared" si="1"/>
        <v>-27165.700779886214</v>
      </c>
    </row>
    <row r="29" spans="1:8" x14ac:dyDescent="0.3">
      <c r="A29" s="4">
        <v>26</v>
      </c>
      <c r="B29" s="6">
        <f>'Revenue Model'!I30</f>
        <v>65641.96231200172</v>
      </c>
      <c r="C29" s="6">
        <f>OPEX!E6</f>
        <v>3900</v>
      </c>
      <c r="D29" s="6">
        <f>'Staffing &amp; Payroll'!E7</f>
        <v>24888.839999999997</v>
      </c>
      <c r="E29" s="6">
        <f>OPEX!B11</f>
        <v>48200</v>
      </c>
      <c r="F29" s="6">
        <f t="shared" si="0"/>
        <v>-11346.877687998276</v>
      </c>
      <c r="G29" s="6">
        <f>Financing!D29</f>
        <v>13644.157408746129</v>
      </c>
      <c r="H29" s="6">
        <f t="shared" si="1"/>
        <v>-26505.576774984434</v>
      </c>
    </row>
    <row r="30" spans="1:8" x14ac:dyDescent="0.3">
      <c r="A30" s="4">
        <v>27</v>
      </c>
      <c r="B30" s="6">
        <f>'Revenue Model'!I31</f>
        <v>66305.89952760181</v>
      </c>
      <c r="C30" s="6">
        <f>OPEX!E6</f>
        <v>3900</v>
      </c>
      <c r="D30" s="6">
        <f>'Staffing &amp; Payroll'!E7</f>
        <v>24888.839999999997</v>
      </c>
      <c r="E30" s="6">
        <f>OPEX!B11</f>
        <v>48200</v>
      </c>
      <c r="F30" s="6">
        <f t="shared" si="0"/>
        <v>-10682.940472398186</v>
      </c>
      <c r="G30" s="6">
        <f>Financing!D30</f>
        <v>13547.294188760807</v>
      </c>
      <c r="H30" s="6">
        <f t="shared" si="1"/>
        <v>-24991.035096744403</v>
      </c>
    </row>
    <row r="31" spans="1:8" x14ac:dyDescent="0.3">
      <c r="A31" s="4">
        <v>28</v>
      </c>
      <c r="B31" s="6">
        <f>'Revenue Model'!I32</f>
        <v>67549.051591124356</v>
      </c>
      <c r="C31" s="6">
        <f>OPEX!E6</f>
        <v>3900</v>
      </c>
      <c r="D31" s="6">
        <f>'Staffing &amp; Payroll'!E7</f>
        <v>24888.839999999997</v>
      </c>
      <c r="E31" s="6">
        <f>OPEX!B11</f>
        <v>48200</v>
      </c>
      <c r="F31" s="6">
        <f t="shared" si="0"/>
        <v>-9439.78840887564</v>
      </c>
      <c r="G31" s="6">
        <f>Financing!D31</f>
        <v>13449.664134950599</v>
      </c>
      <c r="H31" s="6">
        <f t="shared" si="1"/>
        <v>-24230.234661158993</v>
      </c>
    </row>
    <row r="32" spans="1:8" x14ac:dyDescent="0.3">
      <c r="A32" s="4">
        <v>29</v>
      </c>
      <c r="B32" s="6">
        <f>'Revenue Model'!I33</f>
        <v>68690.555861680303</v>
      </c>
      <c r="C32" s="6">
        <f>OPEX!E6</f>
        <v>3900</v>
      </c>
      <c r="D32" s="6">
        <f>'Staffing &amp; Payroll'!E7</f>
        <v>24888.839999999997</v>
      </c>
      <c r="E32" s="6">
        <f>OPEX!B11</f>
        <v>48200</v>
      </c>
      <c r="F32" s="6">
        <f t="shared" si="0"/>
        <v>-8298.2841383196937</v>
      </c>
      <c r="G32" s="6">
        <f>Financing!D32</f>
        <v>13351.261176547729</v>
      </c>
      <c r="H32" s="6">
        <f t="shared" si="1"/>
        <v>-22889.452543826239</v>
      </c>
    </row>
    <row r="33" spans="1:8" x14ac:dyDescent="0.3">
      <c r="A33" s="4">
        <v>30</v>
      </c>
      <c r="B33" s="6">
        <f>'Revenue Model'!I34</f>
        <v>66182.356944109299</v>
      </c>
      <c r="C33" s="6">
        <f>OPEX!E6</f>
        <v>3900</v>
      </c>
      <c r="D33" s="6">
        <f>'Staffing &amp; Payroll'!E7</f>
        <v>24888.839999999997</v>
      </c>
      <c r="E33" s="6">
        <f>OPEX!B11</f>
        <v>48200</v>
      </c>
      <c r="F33" s="6">
        <f t="shared" si="0"/>
        <v>-10806.483055890698</v>
      </c>
      <c r="G33" s="6">
        <f>Financing!D33</f>
        <v>13252.079194724167</v>
      </c>
      <c r="H33" s="6">
        <f t="shared" si="1"/>
        <v>-21649.545314867421</v>
      </c>
    </row>
    <row r="34" spans="1:8" x14ac:dyDescent="0.3">
      <c r="A34" s="4">
        <v>31</v>
      </c>
      <c r="B34" s="6">
        <f>'Revenue Model'!I35</f>
        <v>67380.666919314768</v>
      </c>
      <c r="C34" s="6">
        <f>OPEX!E6</f>
        <v>3900</v>
      </c>
      <c r="D34" s="6">
        <f>'Staffing &amp; Payroll'!E7</f>
        <v>24888.839999999997</v>
      </c>
      <c r="E34" s="6">
        <f>OPEX!B11</f>
        <v>48200</v>
      </c>
      <c r="F34" s="6">
        <f t="shared" si="0"/>
        <v>-9608.1730806852283</v>
      </c>
      <c r="G34" s="6">
        <f>Financing!D34</f>
        <v>13152.112022211169</v>
      </c>
      <c r="H34" s="6">
        <f t="shared" si="1"/>
        <v>-24058.562250614865</v>
      </c>
    </row>
    <row r="35" spans="1:8" x14ac:dyDescent="0.3">
      <c r="A35" s="4">
        <v>32</v>
      </c>
      <c r="B35" s="6">
        <f>'Revenue Model'!I36</f>
        <v>68638.892393280505</v>
      </c>
      <c r="C35" s="6">
        <f>OPEX!E6</f>
        <v>3900</v>
      </c>
      <c r="D35" s="6">
        <f>'Staffing &amp; Payroll'!E7</f>
        <v>24888.839999999997</v>
      </c>
      <c r="E35" s="6">
        <f>OPEX!B11</f>
        <v>48200</v>
      </c>
      <c r="F35" s="6">
        <f t="shared" si="0"/>
        <v>-8349.9476067194919</v>
      </c>
      <c r="G35" s="6">
        <f>Financing!D35</f>
        <v>13051.353442915777</v>
      </c>
      <c r="H35" s="6">
        <f t="shared" si="1"/>
        <v>-22760.2851028964</v>
      </c>
    </row>
    <row r="36" spans="1:8" x14ac:dyDescent="0.3">
      <c r="A36" s="4">
        <v>33</v>
      </c>
      <c r="B36" s="6">
        <f>'Revenue Model'!I37</f>
        <v>72209.19921673405</v>
      </c>
      <c r="C36" s="6">
        <f>OPEX!E6</f>
        <v>3900</v>
      </c>
      <c r="D36" s="6">
        <f>'Staffing &amp; Payroll'!E7</f>
        <v>24888.839999999997</v>
      </c>
      <c r="E36" s="6">
        <f>OPEX!B11</f>
        <v>48200</v>
      </c>
      <c r="F36" s="6">
        <f t="shared" si="0"/>
        <v>-4779.6407832659461</v>
      </c>
      <c r="G36" s="6">
        <f>Financing!D36</f>
        <v>12949.797191534295</v>
      </c>
      <c r="H36" s="6">
        <f t="shared" si="1"/>
        <v>-21401.301049635269</v>
      </c>
    </row>
    <row r="37" spans="1:8" x14ac:dyDescent="0.3">
      <c r="A37" s="4">
        <v>34</v>
      </c>
      <c r="B37" s="6">
        <f>'Revenue Model'!I38</f>
        <v>72713.687394722452</v>
      </c>
      <c r="C37" s="6">
        <f>OPEX!E6</f>
        <v>3900</v>
      </c>
      <c r="D37" s="6">
        <f>'Staffing &amp; Payroll'!E7</f>
        <v>24888.839999999997</v>
      </c>
      <c r="E37" s="6">
        <f>OPEX!B11</f>
        <v>48200</v>
      </c>
      <c r="F37" s="6">
        <f t="shared" si="0"/>
        <v>-4275.1526052775444</v>
      </c>
      <c r="G37" s="6">
        <f>Financing!D37</f>
        <v>12847.436953162711</v>
      </c>
      <c r="H37" s="6">
        <f t="shared" si="1"/>
        <v>-17729.437974800239</v>
      </c>
    </row>
    <row r="38" spans="1:8" x14ac:dyDescent="0.3">
      <c r="A38" s="4">
        <v>35</v>
      </c>
      <c r="B38" s="6">
        <f>'Revenue Model'!I39</f>
        <v>72962.908723972505</v>
      </c>
      <c r="C38" s="6">
        <f>OPEX!E6</f>
        <v>3900</v>
      </c>
      <c r="D38" s="6">
        <f>'Staffing &amp; Payroll'!E7</f>
        <v>24888.839999999997</v>
      </c>
      <c r="E38" s="6">
        <f>OPEX!B11</f>
        <v>48200</v>
      </c>
      <c r="F38" s="6">
        <f t="shared" si="0"/>
        <v>-4025.9312760274915</v>
      </c>
      <c r="G38" s="6">
        <f>Financing!D38</f>
        <v>12744.26636290402</v>
      </c>
      <c r="H38" s="6">
        <f t="shared" si="1"/>
        <v>-17122.589558440253</v>
      </c>
    </row>
    <row r="39" spans="1:8" x14ac:dyDescent="0.3">
      <c r="A39" s="4">
        <v>36</v>
      </c>
      <c r="B39" s="6">
        <f>'Revenue Model'!I40</f>
        <v>72648.364514320521</v>
      </c>
      <c r="C39" s="6">
        <f>OPEX!E6</f>
        <v>3900</v>
      </c>
      <c r="D39" s="6">
        <f>'Staffing &amp; Payroll'!E7</f>
        <v>24888.839999999997</v>
      </c>
      <c r="E39" s="6">
        <f>OPEX!B11</f>
        <v>48200</v>
      </c>
      <c r="F39" s="6">
        <f t="shared" si="0"/>
        <v>-4340.4754856794752</v>
      </c>
      <c r="G39" s="6">
        <f>Financing!D39</f>
        <v>12640.279005472446</v>
      </c>
      <c r="H39" s="6">
        <f t="shared" si="1"/>
        <v>-16770.19763893151</v>
      </c>
    </row>
    <row r="40" spans="1:8" x14ac:dyDescent="0.3">
      <c r="A40" s="4">
        <v>37</v>
      </c>
      <c r="B40" s="6">
        <f>'Revenue Model'!I41</f>
        <v>75074.377023179695</v>
      </c>
      <c r="C40" s="6">
        <f>OPEX!E6</f>
        <v>3900</v>
      </c>
      <c r="D40" s="6">
        <f>'Staffing &amp; Payroll'!E7</f>
        <v>24888.839999999997</v>
      </c>
      <c r="E40" s="6">
        <f>OPEX!B11</f>
        <v>48200</v>
      </c>
      <c r="F40" s="6">
        <f t="shared" ref="F40:F51" si="2">B40-C40-D40-E40</f>
        <v>-1914.4629768203013</v>
      </c>
      <c r="G40" s="6">
        <f>Financing!D40</f>
        <v>12535.468414794541</v>
      </c>
      <c r="H40" s="6">
        <f t="shared" si="1"/>
        <v>-16980.754491151922</v>
      </c>
    </row>
    <row r="41" spans="1:8" x14ac:dyDescent="0.3">
      <c r="A41" s="4">
        <v>38</v>
      </c>
      <c r="B41" s="6">
        <f>'Revenue Model'!I42</f>
        <v>82534.471074700254</v>
      </c>
      <c r="C41" s="6">
        <f>OPEX!E6</f>
        <v>3900</v>
      </c>
      <c r="D41" s="6">
        <f>'Staffing &amp; Payroll'!E7</f>
        <v>24888.839999999997</v>
      </c>
      <c r="E41" s="6">
        <f>OPEX!B11</f>
        <v>48200</v>
      </c>
      <c r="F41" s="6">
        <f t="shared" si="2"/>
        <v>5545.6310747002572</v>
      </c>
      <c r="G41" s="6">
        <f>Financing!D41</f>
        <v>12429.828073607101</v>
      </c>
      <c r="H41" s="6">
        <f t="shared" ref="H41:H51" si="3">F40-G40</f>
        <v>-14449.931391614842</v>
      </c>
    </row>
    <row r="42" spans="1:8" x14ac:dyDescent="0.3">
      <c r="A42" s="4">
        <v>39</v>
      </c>
      <c r="B42" s="6">
        <f>'Revenue Model'!I43</f>
        <v>84870.856401008539</v>
      </c>
      <c r="C42" s="6">
        <f>OPEX!E6</f>
        <v>3900</v>
      </c>
      <c r="D42" s="6">
        <f>'Staffing &amp; Payroll'!E7</f>
        <v>24888.839999999997</v>
      </c>
      <c r="E42" s="6">
        <f>OPEX!B11</f>
        <v>48200</v>
      </c>
      <c r="F42" s="6">
        <f t="shared" si="2"/>
        <v>7882.0164010085427</v>
      </c>
      <c r="G42" s="6">
        <f>Financing!D42</f>
        <v>12323.351413051927</v>
      </c>
      <c r="H42" s="6">
        <f t="shared" si="3"/>
        <v>-6884.1969989068439</v>
      </c>
    </row>
    <row r="43" spans="1:8" x14ac:dyDescent="0.3">
      <c r="A43" s="4">
        <v>40</v>
      </c>
      <c r="B43" s="6">
        <f>'Revenue Model'!I44</f>
        <v>86961.142391860238</v>
      </c>
      <c r="C43" s="6">
        <f>OPEX!E6</f>
        <v>3900</v>
      </c>
      <c r="D43" s="6">
        <f>'Staffing &amp; Payroll'!E7</f>
        <v>24888.839999999997</v>
      </c>
      <c r="E43" s="6">
        <f>OPEX!B11</f>
        <v>48200</v>
      </c>
      <c r="F43" s="6">
        <f t="shared" si="2"/>
        <v>9972.3023918602412</v>
      </c>
      <c r="G43" s="6">
        <f>Financing!D43</f>
        <v>12216.031812267356</v>
      </c>
      <c r="H43" s="6">
        <f t="shared" si="3"/>
        <v>-4441.3350120433843</v>
      </c>
    </row>
    <row r="44" spans="1:8" x14ac:dyDescent="0.3">
      <c r="A44" s="4">
        <v>41</v>
      </c>
      <c r="B44" s="6">
        <f>'Revenue Model'!I45</f>
        <v>89198.2831857946</v>
      </c>
      <c r="C44" s="6">
        <f>OPEX!E6</f>
        <v>3900</v>
      </c>
      <c r="D44" s="6">
        <f>'Staffing &amp; Payroll'!E7</f>
        <v>24888.839999999997</v>
      </c>
      <c r="E44" s="6">
        <f>OPEX!B11</f>
        <v>48200</v>
      </c>
      <c r="F44" s="6">
        <f t="shared" si="2"/>
        <v>12209.443185794604</v>
      </c>
      <c r="G44" s="6">
        <f>Financing!D44</f>
        <v>12107.862597976577</v>
      </c>
      <c r="H44" s="6">
        <f t="shared" si="3"/>
        <v>-2243.729420407115</v>
      </c>
    </row>
    <row r="45" spans="1:8" x14ac:dyDescent="0.3">
      <c r="A45" s="4">
        <v>42</v>
      </c>
      <c r="B45" s="6">
        <f>'Revenue Model'!I46</f>
        <v>90658.130445084345</v>
      </c>
      <c r="C45" s="6">
        <f>OPEX!E6</f>
        <v>3900</v>
      </c>
      <c r="D45" s="6">
        <f>'Staffing &amp; Payroll'!E7</f>
        <v>24888.839999999997</v>
      </c>
      <c r="E45" s="6">
        <f>OPEX!B11</f>
        <v>48200</v>
      </c>
      <c r="F45" s="6">
        <f t="shared" si="2"/>
        <v>13669.290445084349</v>
      </c>
      <c r="G45" s="6">
        <f>Financing!D45</f>
        <v>11998.837044072661</v>
      </c>
      <c r="H45" s="6">
        <f t="shared" si="3"/>
        <v>101.5805878180272</v>
      </c>
    </row>
    <row r="46" spans="1:8" x14ac:dyDescent="0.3">
      <c r="A46" s="4">
        <v>43</v>
      </c>
      <c r="B46" s="6">
        <f>'Revenue Model'!I47</f>
        <v>92190.970067338538</v>
      </c>
      <c r="C46" s="6">
        <f>OPEX!E6</f>
        <v>3900</v>
      </c>
      <c r="D46" s="6">
        <f>'Staffing &amp; Payroll'!E7</f>
        <v>24888.839999999997</v>
      </c>
      <c r="E46" s="6">
        <f>OPEX!B11</f>
        <v>48200</v>
      </c>
      <c r="F46" s="6">
        <f t="shared" si="2"/>
        <v>15202.130067338541</v>
      </c>
      <c r="G46" s="6">
        <f>Financing!D46</f>
        <v>11888.948371200338</v>
      </c>
      <c r="H46" s="6">
        <f t="shared" si="3"/>
        <v>1670.4534010116877</v>
      </c>
    </row>
    <row r="47" spans="1:8" x14ac:dyDescent="0.3">
      <c r="A47" s="4">
        <v>44</v>
      </c>
      <c r="B47" s="6">
        <f>'Revenue Model'!I48</f>
        <v>92771.148737083582</v>
      </c>
      <c r="C47" s="6">
        <f>OPEX!E6</f>
        <v>3900</v>
      </c>
      <c r="D47" s="6">
        <f>'Staffing &amp; Payroll'!E7</f>
        <v>24888.839999999997</v>
      </c>
      <c r="E47" s="6">
        <f>OPEX!B11</f>
        <v>48200</v>
      </c>
      <c r="F47" s="6">
        <f t="shared" si="2"/>
        <v>15782.308737083586</v>
      </c>
      <c r="G47" s="6">
        <f>Financing!D47</f>
        <v>11778.189746334443</v>
      </c>
      <c r="H47" s="6">
        <f t="shared" si="3"/>
        <v>3313.1816961382028</v>
      </c>
    </row>
    <row r="48" spans="1:8" x14ac:dyDescent="0.3">
      <c r="A48" s="4">
        <v>45</v>
      </c>
      <c r="B48" s="6">
        <f>'Revenue Model'!I49</f>
        <v>93328.871193634768</v>
      </c>
      <c r="C48" s="6">
        <f>OPEX!E6</f>
        <v>3900</v>
      </c>
      <c r="D48" s="6">
        <f>'Staffing &amp; Payroll'!E7</f>
        <v>24888.839999999997</v>
      </c>
      <c r="E48" s="6">
        <f>OPEX!B11</f>
        <v>48200</v>
      </c>
      <c r="F48" s="6">
        <f t="shared" si="2"/>
        <v>16340.031193634772</v>
      </c>
      <c r="G48" s="6">
        <f>Financing!D48</f>
        <v>11666.554282355028</v>
      </c>
      <c r="H48" s="6">
        <f t="shared" si="3"/>
        <v>4004.1189907491425</v>
      </c>
    </row>
    <row r="49" spans="1:8" x14ac:dyDescent="0.3">
      <c r="A49" s="4">
        <v>46</v>
      </c>
      <c r="B49" s="6">
        <f>'Revenue Model'!I50</f>
        <v>93893.770575830931</v>
      </c>
      <c r="C49" s="6">
        <f>OPEX!E6</f>
        <v>3900</v>
      </c>
      <c r="D49" s="6">
        <f>'Staffing &amp; Payroll'!E7</f>
        <v>24888.839999999997</v>
      </c>
      <c r="E49" s="6">
        <f>OPEX!B11</f>
        <v>48200</v>
      </c>
      <c r="F49" s="6">
        <f t="shared" si="2"/>
        <v>16904.930575830935</v>
      </c>
      <c r="G49" s="6">
        <f>Financing!D49</f>
        <v>11554.035037619109</v>
      </c>
      <c r="H49" s="6">
        <f t="shared" si="3"/>
        <v>4673.4769112797439</v>
      </c>
    </row>
    <row r="50" spans="1:8" x14ac:dyDescent="0.3">
      <c r="A50" s="4">
        <v>47</v>
      </c>
      <c r="B50" s="6">
        <f>'Revenue Model'!I51</f>
        <v>95207.603340434391</v>
      </c>
      <c r="C50" s="6">
        <f>OPEX!E6</f>
        <v>3900</v>
      </c>
      <c r="D50" s="6">
        <f>'Staffing &amp; Payroll'!E7</f>
        <v>24888.839999999997</v>
      </c>
      <c r="E50" s="6">
        <f>OPEX!B11</f>
        <v>48200</v>
      </c>
      <c r="F50" s="6">
        <f t="shared" si="2"/>
        <v>18218.763340434394</v>
      </c>
      <c r="G50" s="6">
        <f>Financing!D50</f>
        <v>11440.625015529029</v>
      </c>
      <c r="H50" s="6">
        <f t="shared" si="3"/>
        <v>5350.8955382118256</v>
      </c>
    </row>
    <row r="51" spans="1:8" x14ac:dyDescent="0.3">
      <c r="A51" s="4">
        <v>48</v>
      </c>
      <c r="B51" s="6">
        <f>'Revenue Model'!I52</f>
        <v>97266.394332456126</v>
      </c>
      <c r="C51" s="6">
        <f>OPEX!E6</f>
        <v>3900</v>
      </c>
      <c r="D51" s="6">
        <f>'Staffing &amp; Payroll'!E7</f>
        <v>24888.839999999997</v>
      </c>
      <c r="E51" s="6">
        <f>OPEX!B11</f>
        <v>48200</v>
      </c>
      <c r="F51" s="6">
        <f t="shared" si="2"/>
        <v>20277.554332456129</v>
      </c>
      <c r="G51" s="6">
        <f>Financing!D51</f>
        <v>11326.317164097405</v>
      </c>
      <c r="H51" s="6">
        <f t="shared" si="3"/>
        <v>6778.1383249053652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workbookViewId="0">
      <selection activeCell="B4" sqref="B4"/>
    </sheetView>
  </sheetViews>
  <sheetFormatPr defaultRowHeight="14.4" x14ac:dyDescent="0.3"/>
  <cols>
    <col min="4" max="4" width="17.33203125" bestFit="1" customWidth="1"/>
    <col min="5" max="5" width="8.21875" bestFit="1" customWidth="1"/>
    <col min="7" max="7" width="12.77734375" bestFit="1" customWidth="1"/>
    <col min="8" max="8" width="12" bestFit="1" customWidth="1"/>
  </cols>
  <sheetData>
    <row r="1" spans="1:8" ht="18" x14ac:dyDescent="0.35">
      <c r="A1" s="32" t="s">
        <v>121</v>
      </c>
      <c r="B1" s="32"/>
      <c r="C1" s="32"/>
      <c r="D1" s="32"/>
      <c r="E1" s="32"/>
      <c r="F1" s="32"/>
      <c r="G1" s="32"/>
      <c r="H1" s="32"/>
    </row>
    <row r="2" spans="1:8" x14ac:dyDescent="0.3">
      <c r="A2" s="34" t="s">
        <v>188</v>
      </c>
      <c r="B2" s="34"/>
      <c r="C2" s="34"/>
      <c r="D2" s="34"/>
      <c r="E2" s="34"/>
      <c r="F2" s="34"/>
      <c r="G2" s="34"/>
      <c r="H2" s="34"/>
    </row>
    <row r="3" spans="1:8" x14ac:dyDescent="0.3">
      <c r="A3" s="3" t="s">
        <v>84</v>
      </c>
      <c r="B3" s="3" t="s">
        <v>119</v>
      </c>
      <c r="C3" s="3" t="s">
        <v>77</v>
      </c>
      <c r="D3" s="3" t="s">
        <v>122</v>
      </c>
      <c r="E3" s="3" t="s">
        <v>78</v>
      </c>
      <c r="F3" s="3" t="s">
        <v>123</v>
      </c>
      <c r="G3" s="3" t="s">
        <v>124</v>
      </c>
      <c r="H3" s="3" t="s">
        <v>125</v>
      </c>
    </row>
    <row r="4" spans="1:8" x14ac:dyDescent="0.3">
      <c r="A4" s="4">
        <v>1</v>
      </c>
      <c r="B4" s="6">
        <f>'P&amp;L (36m)'!F4</f>
        <v>-16910.001999999993</v>
      </c>
      <c r="C4" s="6">
        <f>'P&amp;L (36m)'!G4</f>
        <v>15833.333333333334</v>
      </c>
      <c r="D4" s="6">
        <f>MonthlyDebtService</f>
        <v>25879.511512155408</v>
      </c>
      <c r="E4" s="6">
        <f>D4-C4</f>
        <v>10046.178178822074</v>
      </c>
      <c r="F4" s="6">
        <f>'CapEx &amp; Sources'!E22</f>
        <v>799260</v>
      </c>
      <c r="G4" s="6">
        <f>B4-C4-F4</f>
        <v>-832003.33533333335</v>
      </c>
      <c r="H4" s="6">
        <f>Assumptions!$B$41 + Financing!$B$4 + ABS('CapEx &amp; Sources'!$H$5) -F4 +G4</f>
        <v>1569476.6646666666</v>
      </c>
    </row>
    <row r="5" spans="1:8" x14ac:dyDescent="0.3">
      <c r="A5" s="4">
        <v>2</v>
      </c>
      <c r="B5" s="6">
        <f>'P&amp;L (36m)'!F4</f>
        <v>-16910.001999999993</v>
      </c>
      <c r="C5" s="6">
        <f>'P&amp;L (36m)'!G4</f>
        <v>15833.333333333334</v>
      </c>
      <c r="D5" s="6">
        <f t="shared" ref="D5:D51" si="0">MonthlyDebtService</f>
        <v>25879.511512155408</v>
      </c>
      <c r="E5" s="6">
        <f t="shared" ref="E5:E38" si="1">D5-C5</f>
        <v>10046.178178822074</v>
      </c>
      <c r="F5" s="6">
        <v>0</v>
      </c>
      <c r="G5" s="6">
        <f t="shared" ref="G5:G39" si="2">B5-C5-F5</f>
        <v>-32743.335333333329</v>
      </c>
      <c r="H5" s="6">
        <f>H4+G5</f>
        <v>1536733.3293333333</v>
      </c>
    </row>
    <row r="6" spans="1:8" x14ac:dyDescent="0.3">
      <c r="A6" s="4">
        <v>3</v>
      </c>
      <c r="B6" s="6">
        <f>'P&amp;L (36m)'!F5</f>
        <v>-15705.189499999993</v>
      </c>
      <c r="C6" s="6">
        <f>'P&amp;L (36m)'!G5</f>
        <v>15753.801089417659</v>
      </c>
      <c r="D6" s="6">
        <f t="shared" si="0"/>
        <v>25879.511512155408</v>
      </c>
      <c r="E6" s="6">
        <f t="shared" si="1"/>
        <v>10125.710422737749</v>
      </c>
      <c r="F6" s="6">
        <v>0</v>
      </c>
      <c r="G6" s="6">
        <f t="shared" si="2"/>
        <v>-31458.990589417652</v>
      </c>
      <c r="H6" s="6">
        <f t="shared" ref="H6:H40" si="3">H5+G6</f>
        <v>1505274.3387439155</v>
      </c>
    </row>
    <row r="7" spans="1:8" x14ac:dyDescent="0.3">
      <c r="A7" s="4">
        <v>4</v>
      </c>
      <c r="B7" s="6">
        <f>'P&amp;L (36m)'!F6</f>
        <v>-20302.44387499999</v>
      </c>
      <c r="C7" s="6">
        <f>'P&amp;L (36m)'!G6</f>
        <v>15673.639215237652</v>
      </c>
      <c r="D7" s="6">
        <f t="shared" si="0"/>
        <v>25879.511512155408</v>
      </c>
      <c r="E7" s="6">
        <f t="shared" si="1"/>
        <v>10205.872296917756</v>
      </c>
      <c r="F7" s="6">
        <v>0</v>
      </c>
      <c r="G7" s="6">
        <f t="shared" si="2"/>
        <v>-35976.08309023764</v>
      </c>
      <c r="H7" s="6">
        <f t="shared" si="3"/>
        <v>1469298.255653678</v>
      </c>
    </row>
    <row r="8" spans="1:8" x14ac:dyDescent="0.3">
      <c r="A8" s="4">
        <v>5</v>
      </c>
      <c r="B8" s="6">
        <f>'P&amp;L (36m)'!F7</f>
        <v>-20489.621652499991</v>
      </c>
      <c r="C8" s="6">
        <f>'P&amp;L (36m)'!G7</f>
        <v>15592.842726220386</v>
      </c>
      <c r="D8" s="6">
        <f t="shared" si="0"/>
        <v>25879.511512155408</v>
      </c>
      <c r="E8" s="6">
        <f t="shared" si="1"/>
        <v>10286.668785935022</v>
      </c>
      <c r="F8" s="6">
        <v>0</v>
      </c>
      <c r="G8" s="6">
        <f t="shared" si="2"/>
        <v>-36082.464378720375</v>
      </c>
      <c r="H8" s="6">
        <f t="shared" si="3"/>
        <v>1433215.7912749576</v>
      </c>
    </row>
    <row r="9" spans="1:8" x14ac:dyDescent="0.3">
      <c r="A9" s="4">
        <v>6</v>
      </c>
      <c r="B9" s="6">
        <f>'P&amp;L (36m)'!F8</f>
        <v>-23907.07248124999</v>
      </c>
      <c r="C9" s="6">
        <f>'P&amp;L (36m)'!G8</f>
        <v>15511.406598331734</v>
      </c>
      <c r="D9" s="6">
        <f t="shared" si="0"/>
        <v>25879.511512155408</v>
      </c>
      <c r="E9" s="6">
        <f t="shared" si="1"/>
        <v>10368.104913823674</v>
      </c>
      <c r="F9" s="6">
        <v>0</v>
      </c>
      <c r="G9" s="6">
        <f t="shared" si="2"/>
        <v>-39418.479079581724</v>
      </c>
      <c r="H9" s="6">
        <f t="shared" si="3"/>
        <v>1393797.3121953758</v>
      </c>
    </row>
    <row r="10" spans="1:8" x14ac:dyDescent="0.3">
      <c r="A10" s="4">
        <v>7</v>
      </c>
      <c r="B10" s="6">
        <f>'P&amp;L (36m)'!F9</f>
        <v>-27341.533162343738</v>
      </c>
      <c r="C10" s="6">
        <f>'P&amp;L (36m)'!G9</f>
        <v>15429.325767763963</v>
      </c>
      <c r="D10" s="6">
        <f t="shared" si="0"/>
        <v>25879.511512155408</v>
      </c>
      <c r="E10" s="6">
        <f t="shared" si="1"/>
        <v>10450.185744391445</v>
      </c>
      <c r="F10" s="6">
        <v>0</v>
      </c>
      <c r="G10" s="6">
        <f t="shared" si="2"/>
        <v>-42770.858930107701</v>
      </c>
      <c r="H10" s="6">
        <f t="shared" si="3"/>
        <v>1351026.4532652681</v>
      </c>
    </row>
    <row r="11" spans="1:8" x14ac:dyDescent="0.3">
      <c r="A11" s="4">
        <v>8</v>
      </c>
      <c r="B11" s="6">
        <f>'P&amp;L (36m)'!F10</f>
        <v>-26969.975692460925</v>
      </c>
      <c r="C11" s="6">
        <f>'P&amp;L (36m)'!G10</f>
        <v>15346.595130620863</v>
      </c>
      <c r="D11" s="6">
        <f t="shared" si="0"/>
        <v>25879.511512155408</v>
      </c>
      <c r="E11" s="6">
        <f t="shared" si="1"/>
        <v>10532.916381534546</v>
      </c>
      <c r="F11" s="6">
        <v>0</v>
      </c>
      <c r="G11" s="6">
        <f t="shared" si="2"/>
        <v>-42316.570823081784</v>
      </c>
      <c r="H11" s="6">
        <f t="shared" si="3"/>
        <v>1308709.8824421864</v>
      </c>
    </row>
    <row r="12" spans="1:8" x14ac:dyDescent="0.3">
      <c r="A12" s="4">
        <v>9</v>
      </c>
      <c r="B12" s="6">
        <f>'P&amp;L (36m)'!F11</f>
        <v>-26579.84034908397</v>
      </c>
      <c r="C12" s="6">
        <f>'P&amp;L (36m)'!G11</f>
        <v>15263.20954260038</v>
      </c>
      <c r="D12" s="6">
        <f t="shared" si="0"/>
        <v>25879.511512155408</v>
      </c>
      <c r="E12" s="6">
        <f t="shared" si="1"/>
        <v>10616.301969555028</v>
      </c>
      <c r="F12" s="6">
        <v>0</v>
      </c>
      <c r="G12" s="6">
        <f t="shared" si="2"/>
        <v>-41843.04989168435</v>
      </c>
      <c r="H12" s="6">
        <f t="shared" si="3"/>
        <v>1266866.8325505019</v>
      </c>
    </row>
    <row r="13" spans="1:8" x14ac:dyDescent="0.3">
      <c r="A13" s="4">
        <v>10</v>
      </c>
      <c r="B13" s="6">
        <f>'P&amp;L (36m)'!F12</f>
        <v>-22305.25316122987</v>
      </c>
      <c r="C13" s="6">
        <f>'P&amp;L (36m)'!G12</f>
        <v>15179.163818674737</v>
      </c>
      <c r="D13" s="6">
        <f t="shared" si="0"/>
        <v>25879.511512155408</v>
      </c>
      <c r="E13" s="6">
        <f t="shared" si="1"/>
        <v>10700.347693480671</v>
      </c>
      <c r="F13" s="6">
        <v>0</v>
      </c>
      <c r="G13" s="6">
        <f t="shared" si="2"/>
        <v>-37484.416979904607</v>
      </c>
      <c r="H13" s="6">
        <f t="shared" si="3"/>
        <v>1229382.4155705974</v>
      </c>
    </row>
    <row r="14" spans="1:8" x14ac:dyDescent="0.3">
      <c r="A14" s="4">
        <v>11</v>
      </c>
      <c r="B14" s="6">
        <f>'P&amp;L (36m)'!F13</f>
        <v>-18315.594481507374</v>
      </c>
      <c r="C14" s="6">
        <f>'P&amp;L (36m)'!G13</f>
        <v>15094.452732768013</v>
      </c>
      <c r="D14" s="6">
        <f t="shared" si="0"/>
        <v>25879.511512155408</v>
      </c>
      <c r="E14" s="6">
        <f t="shared" si="1"/>
        <v>10785.058779387395</v>
      </c>
      <c r="F14" s="6">
        <v>0</v>
      </c>
      <c r="G14" s="6">
        <f t="shared" si="2"/>
        <v>-33410.047214275386</v>
      </c>
      <c r="H14" s="6">
        <f t="shared" si="3"/>
        <v>1195972.3683563219</v>
      </c>
    </row>
    <row r="15" spans="1:8" x14ac:dyDescent="0.3">
      <c r="A15" s="4">
        <v>12</v>
      </c>
      <c r="B15" s="6">
        <f>'P&amp;L (36m)'!F14</f>
        <v>-18238.318944748942</v>
      </c>
      <c r="C15" s="6">
        <f>'P&amp;L (36m)'!G14</f>
        <v>15009.071017431197</v>
      </c>
      <c r="D15" s="6">
        <f t="shared" si="0"/>
        <v>25879.511512155408</v>
      </c>
      <c r="E15" s="6">
        <f t="shared" si="1"/>
        <v>10870.440494724211</v>
      </c>
      <c r="F15" s="6">
        <v>0</v>
      </c>
      <c r="G15" s="6">
        <f t="shared" si="2"/>
        <v>-33247.389962180139</v>
      </c>
      <c r="H15" s="6">
        <f t="shared" si="3"/>
        <v>1162724.9783941419</v>
      </c>
    </row>
    <row r="16" spans="1:8" x14ac:dyDescent="0.3">
      <c r="A16" s="4">
        <v>13</v>
      </c>
      <c r="B16" s="6">
        <f>'P&amp;L (36m)'!F15</f>
        <v>-18335.849010527243</v>
      </c>
      <c r="C16" s="6">
        <f>'P&amp;L (36m)'!G15</f>
        <v>14923.013363514629</v>
      </c>
      <c r="D16" s="6">
        <f t="shared" si="0"/>
        <v>25879.511512155408</v>
      </c>
      <c r="E16" s="6">
        <f t="shared" si="1"/>
        <v>10956.49814864078</v>
      </c>
      <c r="F16" s="6">
        <v>0</v>
      </c>
      <c r="G16" s="6">
        <f t="shared" si="2"/>
        <v>-33258.86237404187</v>
      </c>
      <c r="H16" s="6">
        <f t="shared" si="3"/>
        <v>1129466.1160201</v>
      </c>
    </row>
    <row r="17" spans="1:8" x14ac:dyDescent="0.3">
      <c r="A17" s="4">
        <v>14</v>
      </c>
      <c r="B17" s="6">
        <f>'P&amp;L (36m)'!F16</f>
        <v>-18021.360361053608</v>
      </c>
      <c r="C17" s="6">
        <f>'P&amp;L (36m)'!G16</f>
        <v>14836.27441983789</v>
      </c>
      <c r="D17" s="6">
        <f t="shared" si="0"/>
        <v>25879.511512155408</v>
      </c>
      <c r="E17" s="6">
        <f t="shared" si="1"/>
        <v>11043.237092317519</v>
      </c>
      <c r="F17" s="6">
        <v>0</v>
      </c>
      <c r="G17" s="6">
        <f t="shared" si="2"/>
        <v>-32857.634780891502</v>
      </c>
      <c r="H17" s="6">
        <f t="shared" si="3"/>
        <v>1096608.4812392085</v>
      </c>
    </row>
    <row r="18" spans="1:8" x14ac:dyDescent="0.3">
      <c r="A18" s="4">
        <v>15</v>
      </c>
      <c r="B18" s="6">
        <f>'P&amp;L (36m)'!F17</f>
        <v>-17231.520300664997</v>
      </c>
      <c r="C18" s="6">
        <f>'P&amp;L (36m)'!G17</f>
        <v>14748.848792857041</v>
      </c>
      <c r="D18" s="6">
        <f t="shared" si="0"/>
        <v>25879.511512155408</v>
      </c>
      <c r="E18" s="6">
        <f t="shared" si="1"/>
        <v>11130.662719298367</v>
      </c>
      <c r="F18" s="6">
        <v>0</v>
      </c>
      <c r="G18" s="6">
        <f t="shared" si="2"/>
        <v>-31980.369093522037</v>
      </c>
      <c r="H18" s="6">
        <f t="shared" si="3"/>
        <v>1064628.1121456865</v>
      </c>
    </row>
    <row r="19" spans="1:8" x14ac:dyDescent="0.3">
      <c r="A19" s="4">
        <v>16</v>
      </c>
      <c r="B19" s="6">
        <f>'P&amp;L (36m)'!F18</f>
        <v>-16861.815215698254</v>
      </c>
      <c r="C19" s="6">
        <f>'P&amp;L (36m)'!G18</f>
        <v>14660.731046329263</v>
      </c>
      <c r="D19" s="6">
        <f t="shared" si="0"/>
        <v>25879.511512155408</v>
      </c>
      <c r="E19" s="6">
        <f t="shared" si="1"/>
        <v>11218.780465826145</v>
      </c>
      <c r="F19" s="6">
        <v>0</v>
      </c>
      <c r="G19" s="6">
        <f t="shared" si="2"/>
        <v>-31522.546262027518</v>
      </c>
      <c r="H19" s="6">
        <f t="shared" si="3"/>
        <v>1033105.5658836591</v>
      </c>
    </row>
    <row r="20" spans="1:8" x14ac:dyDescent="0.3">
      <c r="A20" s="4">
        <v>17</v>
      </c>
      <c r="B20" s="6">
        <f>'P&amp;L (36m)'!F19</f>
        <v>-16169.581630244254</v>
      </c>
      <c r="C20" s="6">
        <f>'P&amp;L (36m)'!G19</f>
        <v>14571.915700974805</v>
      </c>
      <c r="D20" s="6">
        <f t="shared" si="0"/>
        <v>25879.511512155408</v>
      </c>
      <c r="E20" s="6">
        <f t="shared" si="1"/>
        <v>11307.595811180603</v>
      </c>
      <c r="F20" s="6">
        <v>0</v>
      </c>
      <c r="G20" s="6">
        <f t="shared" si="2"/>
        <v>-30741.49733121906</v>
      </c>
      <c r="H20" s="6">
        <f t="shared" si="3"/>
        <v>1002364.06855244</v>
      </c>
    </row>
    <row r="21" spans="1:8" x14ac:dyDescent="0.3">
      <c r="A21" s="4">
        <v>18</v>
      </c>
      <c r="B21" s="6">
        <f>'P&amp;L (36m)'!F20</f>
        <v>-17991.615092044449</v>
      </c>
      <c r="C21" s="6">
        <f>'P&amp;L (36m)'!G20</f>
        <v>14482.397234136293</v>
      </c>
      <c r="D21" s="6">
        <f t="shared" si="0"/>
        <v>25879.511512155408</v>
      </c>
      <c r="E21" s="6">
        <f t="shared" si="1"/>
        <v>11397.114278019115</v>
      </c>
      <c r="F21" s="6">
        <v>0</v>
      </c>
      <c r="G21" s="6">
        <f t="shared" si="2"/>
        <v>-32474.012326180742</v>
      </c>
      <c r="H21" s="6">
        <f t="shared" si="3"/>
        <v>969890.05622625933</v>
      </c>
    </row>
    <row r="22" spans="1:8" x14ac:dyDescent="0.3">
      <c r="A22" s="4">
        <v>19</v>
      </c>
      <c r="B22" s="6">
        <f>'P&amp;L (36m)'!F21</f>
        <v>-21427.405904603467</v>
      </c>
      <c r="C22" s="6">
        <f>'P&amp;L (36m)'!G21</f>
        <v>14392.170079435307</v>
      </c>
      <c r="D22" s="6">
        <f t="shared" si="0"/>
        <v>25879.511512155408</v>
      </c>
      <c r="E22" s="6">
        <f t="shared" si="1"/>
        <v>11487.341432720101</v>
      </c>
      <c r="F22" s="6">
        <v>0</v>
      </c>
      <c r="G22" s="6">
        <f t="shared" si="2"/>
        <v>-35819.575984038776</v>
      </c>
      <c r="H22" s="6">
        <f t="shared" si="3"/>
        <v>934070.48024222057</v>
      </c>
    </row>
    <row r="23" spans="1:8" x14ac:dyDescent="0.3">
      <c r="A23" s="4">
        <v>20</v>
      </c>
      <c r="B23" s="6">
        <f>'P&amp;L (36m)'!F22</f>
        <v>-20760.142071833645</v>
      </c>
      <c r="C23" s="6">
        <f>'P&amp;L (36m)'!G22</f>
        <v>14301.228626426273</v>
      </c>
      <c r="D23" s="6">
        <f t="shared" si="0"/>
        <v>25879.511512155408</v>
      </c>
      <c r="E23" s="6">
        <f t="shared" si="1"/>
        <v>11578.282885729135</v>
      </c>
      <c r="F23" s="6">
        <v>0</v>
      </c>
      <c r="G23" s="6">
        <f t="shared" si="2"/>
        <v>-35061.370698259918</v>
      </c>
      <c r="H23" s="6">
        <f t="shared" si="3"/>
        <v>899009.10954396066</v>
      </c>
    </row>
    <row r="24" spans="1:8" x14ac:dyDescent="0.3">
      <c r="A24" s="4">
        <v>21</v>
      </c>
      <c r="B24" s="6">
        <f>'P&amp;L (36m)'!F23</f>
        <v>-20059.515047425324</v>
      </c>
      <c r="C24" s="6">
        <f>'P&amp;L (36m)'!G23</f>
        <v>14209.567220247583</v>
      </c>
      <c r="D24" s="6">
        <f t="shared" si="0"/>
        <v>25879.511512155408</v>
      </c>
      <c r="E24" s="6">
        <f t="shared" si="1"/>
        <v>11669.944291907825</v>
      </c>
      <c r="F24" s="6">
        <v>0</v>
      </c>
      <c r="G24" s="6">
        <f t="shared" si="2"/>
        <v>-34269.082267672908</v>
      </c>
      <c r="H24" s="6">
        <f t="shared" si="3"/>
        <v>864740.02727628779</v>
      </c>
    </row>
    <row r="25" spans="1:8" x14ac:dyDescent="0.3">
      <c r="A25" s="4">
        <v>22</v>
      </c>
      <c r="B25" s="6">
        <f>'P&amp;L (36m)'!F24</f>
        <v>-15114.977733041858</v>
      </c>
      <c r="C25" s="6">
        <f>'P&amp;L (36m)'!G24</f>
        <v>14117.18016126998</v>
      </c>
      <c r="D25" s="6">
        <f t="shared" si="0"/>
        <v>25879.511512155408</v>
      </c>
      <c r="E25" s="6">
        <f t="shared" si="1"/>
        <v>11762.331350885428</v>
      </c>
      <c r="F25" s="6">
        <v>0</v>
      </c>
      <c r="G25" s="6">
        <f t="shared" si="2"/>
        <v>-29232.157894311837</v>
      </c>
      <c r="H25" s="6">
        <f t="shared" si="3"/>
        <v>835507.86938197596</v>
      </c>
    </row>
    <row r="26" spans="1:8" x14ac:dyDescent="0.3">
      <c r="A26" s="4">
        <v>23</v>
      </c>
      <c r="B26" s="6">
        <f>'P&amp;L (36m)'!F25</f>
        <v>-13293.719163541304</v>
      </c>
      <c r="C26" s="6">
        <f>'P&amp;L (36m)'!G25</f>
        <v>14024.061704742138</v>
      </c>
      <c r="D26" s="6">
        <f t="shared" si="0"/>
        <v>25879.511512155408</v>
      </c>
      <c r="E26" s="6">
        <f t="shared" si="1"/>
        <v>11855.44980741327</v>
      </c>
      <c r="F26" s="6">
        <v>0</v>
      </c>
      <c r="G26" s="6">
        <f t="shared" si="2"/>
        <v>-27317.780868283444</v>
      </c>
      <c r="H26" s="6">
        <f t="shared" si="3"/>
        <v>808190.08851369249</v>
      </c>
    </row>
    <row r="27" spans="1:8" x14ac:dyDescent="0.3">
      <c r="A27" s="4">
        <v>24</v>
      </c>
      <c r="B27" s="6">
        <f>'P&amp;L (36m)'!F26</f>
        <v>-13154.943402006924</v>
      </c>
      <c r="C27" s="6">
        <f>'P&amp;L (36m)'!G26</f>
        <v>13930.206060433451</v>
      </c>
      <c r="D27" s="6">
        <f t="shared" si="0"/>
        <v>25879.511512155408</v>
      </c>
      <c r="E27" s="6">
        <f t="shared" si="1"/>
        <v>11949.305451721957</v>
      </c>
      <c r="F27" s="6">
        <v>0</v>
      </c>
      <c r="G27" s="6">
        <f t="shared" si="2"/>
        <v>-27085.149462440375</v>
      </c>
      <c r="H27" s="6">
        <f t="shared" si="3"/>
        <v>781104.93905125209</v>
      </c>
    </row>
    <row r="28" spans="1:8" x14ac:dyDescent="0.3">
      <c r="A28" s="4">
        <v>25</v>
      </c>
      <c r="B28" s="6">
        <f>'P&amp;L (36m)'!F27</f>
        <v>-13330.093387612229</v>
      </c>
      <c r="C28" s="6">
        <f>'P&amp;L (36m)'!G27</f>
        <v>13835.607392273985</v>
      </c>
      <c r="D28" s="6">
        <f t="shared" si="0"/>
        <v>25879.511512155408</v>
      </c>
      <c r="E28" s="6">
        <f t="shared" si="1"/>
        <v>12043.904119881423</v>
      </c>
      <c r="F28" s="6">
        <v>0</v>
      </c>
      <c r="G28" s="6">
        <f t="shared" si="2"/>
        <v>-27165.700779886214</v>
      </c>
      <c r="H28" s="6">
        <f t="shared" si="3"/>
        <v>753939.23827136587</v>
      </c>
    </row>
    <row r="29" spans="1:8" x14ac:dyDescent="0.3">
      <c r="A29" s="4">
        <v>26</v>
      </c>
      <c r="B29" s="6">
        <f>'P&amp;L (36m)'!F28</f>
        <v>-12765.316956992843</v>
      </c>
      <c r="C29" s="6">
        <f>'P&amp;L (36m)'!G28</f>
        <v>13740.259817991591</v>
      </c>
      <c r="D29" s="6">
        <f t="shared" si="0"/>
        <v>25879.511512155408</v>
      </c>
      <c r="E29" s="6">
        <f t="shared" si="1"/>
        <v>12139.251694163817</v>
      </c>
      <c r="F29" s="6">
        <v>0</v>
      </c>
      <c r="G29" s="6">
        <f t="shared" si="2"/>
        <v>-26505.576774984434</v>
      </c>
      <c r="H29" s="6">
        <f t="shared" si="3"/>
        <v>727433.66149638139</v>
      </c>
    </row>
    <row r="30" spans="1:8" x14ac:dyDescent="0.3">
      <c r="A30" s="4">
        <v>27</v>
      </c>
      <c r="B30" s="6">
        <f>'P&amp;L (36m)'!F29</f>
        <v>-11346.877687998276</v>
      </c>
      <c r="C30" s="6">
        <f>'P&amp;L (36m)'!G29</f>
        <v>13644.157408746129</v>
      </c>
      <c r="D30" s="6">
        <f t="shared" si="0"/>
        <v>25879.511512155408</v>
      </c>
      <c r="E30" s="6">
        <f t="shared" si="1"/>
        <v>12235.35410340928</v>
      </c>
      <c r="F30" s="6">
        <v>0</v>
      </c>
      <c r="G30" s="6">
        <f t="shared" si="2"/>
        <v>-24991.035096744403</v>
      </c>
      <c r="H30" s="6">
        <f t="shared" si="3"/>
        <v>702442.62639963697</v>
      </c>
    </row>
    <row r="31" spans="1:8" x14ac:dyDescent="0.3">
      <c r="A31" s="4">
        <v>28</v>
      </c>
      <c r="B31" s="6">
        <f>'P&amp;L (36m)'!F30</f>
        <v>-10682.940472398186</v>
      </c>
      <c r="C31" s="6">
        <f>'P&amp;L (36m)'!G30</f>
        <v>13547.294188760807</v>
      </c>
      <c r="D31" s="6">
        <f t="shared" si="0"/>
        <v>25879.511512155408</v>
      </c>
      <c r="E31" s="6">
        <f t="shared" si="1"/>
        <v>12332.217323394601</v>
      </c>
      <c r="F31" s="6">
        <v>0</v>
      </c>
      <c r="G31" s="6">
        <f t="shared" si="2"/>
        <v>-24230.234661158993</v>
      </c>
      <c r="H31" s="6">
        <f t="shared" si="3"/>
        <v>678212.39173847798</v>
      </c>
    </row>
    <row r="32" spans="1:8" x14ac:dyDescent="0.3">
      <c r="A32" s="4">
        <v>29</v>
      </c>
      <c r="B32" s="6">
        <f>'P&amp;L (36m)'!F31</f>
        <v>-9439.78840887564</v>
      </c>
      <c r="C32" s="6">
        <f>'P&amp;L (36m)'!G31</f>
        <v>13449.664134950599</v>
      </c>
      <c r="D32" s="6">
        <f t="shared" si="0"/>
        <v>25879.511512155408</v>
      </c>
      <c r="E32" s="6">
        <f t="shared" si="1"/>
        <v>12429.847377204809</v>
      </c>
      <c r="F32" s="6">
        <v>0</v>
      </c>
      <c r="G32" s="6">
        <f t="shared" si="2"/>
        <v>-22889.452543826239</v>
      </c>
      <c r="H32" s="6">
        <f t="shared" si="3"/>
        <v>655322.93919465179</v>
      </c>
    </row>
    <row r="33" spans="1:8" x14ac:dyDescent="0.3">
      <c r="A33" s="4">
        <v>30</v>
      </c>
      <c r="B33" s="6">
        <f>'P&amp;L (36m)'!F32</f>
        <v>-8298.2841383196937</v>
      </c>
      <c r="C33" s="6">
        <f>'P&amp;L (36m)'!G32</f>
        <v>13351.261176547729</v>
      </c>
      <c r="D33" s="6">
        <f t="shared" si="0"/>
        <v>25879.511512155408</v>
      </c>
      <c r="E33" s="6">
        <f t="shared" si="1"/>
        <v>12528.25033560768</v>
      </c>
      <c r="F33" s="6">
        <v>0</v>
      </c>
      <c r="G33" s="6">
        <f t="shared" si="2"/>
        <v>-21649.545314867421</v>
      </c>
      <c r="H33" s="6">
        <f t="shared" si="3"/>
        <v>633673.39387978439</v>
      </c>
    </row>
    <row r="34" spans="1:8" x14ac:dyDescent="0.3">
      <c r="A34" s="4">
        <v>31</v>
      </c>
      <c r="B34" s="6">
        <f>'P&amp;L (36m)'!F33</f>
        <v>-10806.483055890698</v>
      </c>
      <c r="C34" s="6">
        <f>'P&amp;L (36m)'!G33</f>
        <v>13252.079194724167</v>
      </c>
      <c r="D34" s="6">
        <f t="shared" si="0"/>
        <v>25879.511512155408</v>
      </c>
      <c r="E34" s="6">
        <f t="shared" si="1"/>
        <v>12627.432317431241</v>
      </c>
      <c r="F34" s="6">
        <v>0</v>
      </c>
      <c r="G34" s="6">
        <f t="shared" si="2"/>
        <v>-24058.562250614865</v>
      </c>
      <c r="H34" s="6">
        <f t="shared" si="3"/>
        <v>609614.83162916952</v>
      </c>
    </row>
    <row r="35" spans="1:8" x14ac:dyDescent="0.3">
      <c r="A35" s="4">
        <v>32</v>
      </c>
      <c r="B35" s="6">
        <f>'P&amp;L (36m)'!F34</f>
        <v>-9608.1730806852283</v>
      </c>
      <c r="C35" s="6">
        <f>'P&amp;L (36m)'!G34</f>
        <v>13152.112022211169</v>
      </c>
      <c r="D35" s="6">
        <f t="shared" si="0"/>
        <v>25879.511512155408</v>
      </c>
      <c r="E35" s="6">
        <f t="shared" si="1"/>
        <v>12727.399489944239</v>
      </c>
      <c r="F35" s="6">
        <v>0</v>
      </c>
      <c r="G35" s="6">
        <f t="shared" si="2"/>
        <v>-22760.2851028964</v>
      </c>
      <c r="H35" s="6">
        <f t="shared" si="3"/>
        <v>586854.54652627313</v>
      </c>
    </row>
    <row r="36" spans="1:8" x14ac:dyDescent="0.3">
      <c r="A36" s="4">
        <v>33</v>
      </c>
      <c r="B36" s="6">
        <f>'P&amp;L (36m)'!F35</f>
        <v>-8349.9476067194919</v>
      </c>
      <c r="C36" s="6">
        <f>'P&amp;L (36m)'!G35</f>
        <v>13051.353442915777</v>
      </c>
      <c r="D36" s="6">
        <f t="shared" si="0"/>
        <v>25879.511512155408</v>
      </c>
      <c r="E36" s="6">
        <f t="shared" si="1"/>
        <v>12828.158069239631</v>
      </c>
      <c r="F36" s="6">
        <v>0</v>
      </c>
      <c r="G36" s="6">
        <f t="shared" si="2"/>
        <v>-21401.301049635269</v>
      </c>
      <c r="H36" s="6">
        <f t="shared" si="3"/>
        <v>565453.24547663785</v>
      </c>
    </row>
    <row r="37" spans="1:8" x14ac:dyDescent="0.3">
      <c r="A37" s="4">
        <v>34</v>
      </c>
      <c r="B37" s="6">
        <f>'P&amp;L (36m)'!F36</f>
        <v>-4779.6407832659461</v>
      </c>
      <c r="C37" s="6">
        <f>'P&amp;L (36m)'!G36</f>
        <v>12949.797191534295</v>
      </c>
      <c r="D37" s="6">
        <f t="shared" si="0"/>
        <v>25879.511512155408</v>
      </c>
      <c r="E37" s="6">
        <f t="shared" si="1"/>
        <v>12929.714320621113</v>
      </c>
      <c r="F37" s="6">
        <v>0</v>
      </c>
      <c r="G37" s="6">
        <f t="shared" si="2"/>
        <v>-17729.437974800239</v>
      </c>
      <c r="H37" s="6">
        <f t="shared" si="3"/>
        <v>547723.80750183761</v>
      </c>
    </row>
    <row r="38" spans="1:8" x14ac:dyDescent="0.3">
      <c r="A38" s="4">
        <v>35</v>
      </c>
      <c r="B38" s="6">
        <f>'P&amp;L (36m)'!F37</f>
        <v>-4275.1526052775444</v>
      </c>
      <c r="C38" s="6">
        <f>'P&amp;L (36m)'!G37</f>
        <v>12847.436953162711</v>
      </c>
      <c r="D38" s="6">
        <f t="shared" si="0"/>
        <v>25879.511512155408</v>
      </c>
      <c r="E38" s="6">
        <f t="shared" si="1"/>
        <v>13032.074558992697</v>
      </c>
      <c r="F38" s="6">
        <v>0</v>
      </c>
      <c r="G38" s="6">
        <f t="shared" si="2"/>
        <v>-17122.589558440253</v>
      </c>
      <c r="H38" s="6">
        <f t="shared" si="3"/>
        <v>530601.21794339735</v>
      </c>
    </row>
    <row r="39" spans="1:8" x14ac:dyDescent="0.3">
      <c r="A39" s="4">
        <v>36</v>
      </c>
      <c r="B39" s="6">
        <f>'P&amp;L (36m)'!F38</f>
        <v>-4025.9312760274915</v>
      </c>
      <c r="C39" s="6">
        <f>'P&amp;L (36m)'!G38</f>
        <v>12744.26636290402</v>
      </c>
      <c r="D39" s="6">
        <f t="shared" si="0"/>
        <v>25879.511512155408</v>
      </c>
      <c r="E39" s="6">
        <f>D39-C39</f>
        <v>13135.245149251388</v>
      </c>
      <c r="F39" s="6">
        <v>0</v>
      </c>
      <c r="G39" s="6">
        <f t="shared" si="2"/>
        <v>-16770.19763893151</v>
      </c>
      <c r="H39" s="6">
        <f t="shared" si="3"/>
        <v>513831.02030446584</v>
      </c>
    </row>
    <row r="40" spans="1:8" x14ac:dyDescent="0.3">
      <c r="A40" s="4">
        <v>37</v>
      </c>
      <c r="B40" s="6">
        <f>'P&amp;L (36m)'!F40</f>
        <v>-1914.4629768203013</v>
      </c>
      <c r="C40" s="6">
        <f>'P&amp;L (36m)'!G40</f>
        <v>12535.468414794541</v>
      </c>
      <c r="D40" s="6">
        <f>MonthlyDebtService</f>
        <v>25879.511512155408</v>
      </c>
      <c r="E40" s="6">
        <f>D40-C40</f>
        <v>13344.043097360867</v>
      </c>
      <c r="F40" s="6">
        <f>'CapEx &amp; Sources'!E58</f>
        <v>0</v>
      </c>
      <c r="G40" s="6">
        <f>B40-C40-F40</f>
        <v>-14449.931391614842</v>
      </c>
      <c r="H40" s="6">
        <f t="shared" si="3"/>
        <v>499381.088912851</v>
      </c>
    </row>
    <row r="41" spans="1:8" x14ac:dyDescent="0.3">
      <c r="A41" s="4">
        <v>38</v>
      </c>
      <c r="B41" s="6">
        <f>'P&amp;L (36m)'!F40</f>
        <v>-1914.4629768203013</v>
      </c>
      <c r="C41" s="6">
        <f>'P&amp;L (36m)'!G40</f>
        <v>12535.468414794541</v>
      </c>
      <c r="D41" s="6">
        <f t="shared" si="0"/>
        <v>25879.511512155408</v>
      </c>
      <c r="E41" s="6">
        <f t="shared" ref="E41:E51" si="4">D41-C41</f>
        <v>13344.043097360867</v>
      </c>
      <c r="F41" s="6">
        <v>0</v>
      </c>
      <c r="G41" s="6">
        <f t="shared" ref="G41:G51" si="5">B41-C41-F41</f>
        <v>-14449.931391614842</v>
      </c>
      <c r="H41" s="6">
        <f>H40+G41</f>
        <v>484931.15752123616</v>
      </c>
    </row>
    <row r="42" spans="1:8" x14ac:dyDescent="0.3">
      <c r="A42" s="4">
        <v>39</v>
      </c>
      <c r="B42" s="6">
        <f>'P&amp;L (36m)'!F41</f>
        <v>5545.6310747002572</v>
      </c>
      <c r="C42" s="6">
        <f>'P&amp;L (36m)'!G41</f>
        <v>12429.828073607101</v>
      </c>
      <c r="D42" s="6">
        <f t="shared" si="0"/>
        <v>25879.511512155408</v>
      </c>
      <c r="E42" s="6">
        <f t="shared" si="4"/>
        <v>13449.683438548307</v>
      </c>
      <c r="F42" s="6">
        <v>0</v>
      </c>
      <c r="G42" s="6">
        <f t="shared" si="5"/>
        <v>-6884.1969989068439</v>
      </c>
      <c r="H42" s="6">
        <f t="shared" ref="H42:H51" si="6">H41+G42</f>
        <v>478046.96052232932</v>
      </c>
    </row>
    <row r="43" spans="1:8" x14ac:dyDescent="0.3">
      <c r="A43" s="4">
        <v>40</v>
      </c>
      <c r="B43" s="6">
        <f>'P&amp;L (36m)'!F42</f>
        <v>7882.0164010085427</v>
      </c>
      <c r="C43" s="6">
        <f>'P&amp;L (36m)'!G42</f>
        <v>12323.351413051927</v>
      </c>
      <c r="D43" s="6">
        <f t="shared" si="0"/>
        <v>25879.511512155408</v>
      </c>
      <c r="E43" s="6">
        <f t="shared" si="4"/>
        <v>13556.160099103481</v>
      </c>
      <c r="F43" s="6">
        <v>0</v>
      </c>
      <c r="G43" s="6">
        <f t="shared" si="5"/>
        <v>-4441.3350120433843</v>
      </c>
      <c r="H43" s="6">
        <f t="shared" si="6"/>
        <v>473605.62551028596</v>
      </c>
    </row>
    <row r="44" spans="1:8" x14ac:dyDescent="0.3">
      <c r="A44" s="4">
        <v>41</v>
      </c>
      <c r="B44" s="6">
        <f>'P&amp;L (36m)'!F43</f>
        <v>9972.3023918602412</v>
      </c>
      <c r="C44" s="6">
        <f>'P&amp;L (36m)'!G43</f>
        <v>12216.031812267356</v>
      </c>
      <c r="D44" s="6">
        <f t="shared" si="0"/>
        <v>25879.511512155408</v>
      </c>
      <c r="E44" s="6">
        <f t="shared" si="4"/>
        <v>13663.479699888052</v>
      </c>
      <c r="F44" s="6">
        <v>0</v>
      </c>
      <c r="G44" s="6">
        <f t="shared" si="5"/>
        <v>-2243.729420407115</v>
      </c>
      <c r="H44" s="6">
        <f t="shared" si="6"/>
        <v>471361.89608987886</v>
      </c>
    </row>
    <row r="45" spans="1:8" x14ac:dyDescent="0.3">
      <c r="A45" s="4">
        <v>42</v>
      </c>
      <c r="B45" s="6">
        <f>'P&amp;L (36m)'!F44</f>
        <v>12209.443185794604</v>
      </c>
      <c r="C45" s="6">
        <f>'P&amp;L (36m)'!G44</f>
        <v>12107.862597976577</v>
      </c>
      <c r="D45" s="6">
        <f t="shared" si="0"/>
        <v>25879.511512155408</v>
      </c>
      <c r="E45" s="6">
        <f t="shared" si="4"/>
        <v>13771.648914178832</v>
      </c>
      <c r="F45" s="6">
        <v>0</v>
      </c>
      <c r="G45" s="6">
        <f t="shared" si="5"/>
        <v>101.5805878180272</v>
      </c>
      <c r="H45" s="6">
        <f t="shared" si="6"/>
        <v>471463.47667769692</v>
      </c>
    </row>
    <row r="46" spans="1:8" x14ac:dyDescent="0.3">
      <c r="A46" s="4">
        <v>43</v>
      </c>
      <c r="B46" s="6">
        <f>'P&amp;L (36m)'!F45</f>
        <v>13669.290445084349</v>
      </c>
      <c r="C46" s="6">
        <f>'P&amp;L (36m)'!G45</f>
        <v>11998.837044072661</v>
      </c>
      <c r="D46" s="6">
        <f t="shared" si="0"/>
        <v>25879.511512155408</v>
      </c>
      <c r="E46" s="6">
        <f t="shared" si="4"/>
        <v>13880.674468082747</v>
      </c>
      <c r="F46" s="6">
        <v>0</v>
      </c>
      <c r="G46" s="6">
        <f t="shared" si="5"/>
        <v>1670.4534010116877</v>
      </c>
      <c r="H46" s="6">
        <f t="shared" si="6"/>
        <v>473133.93007870862</v>
      </c>
    </row>
    <row r="47" spans="1:8" x14ac:dyDescent="0.3">
      <c r="A47" s="4">
        <v>44</v>
      </c>
      <c r="B47" s="6">
        <f>'P&amp;L (36m)'!F46</f>
        <v>15202.130067338541</v>
      </c>
      <c r="C47" s="6">
        <f>'P&amp;L (36m)'!G46</f>
        <v>11888.948371200338</v>
      </c>
      <c r="D47" s="6">
        <f t="shared" si="0"/>
        <v>25879.511512155408</v>
      </c>
      <c r="E47" s="6">
        <f t="shared" si="4"/>
        <v>13990.56314095507</v>
      </c>
      <c r="F47" s="6">
        <v>0</v>
      </c>
      <c r="G47" s="6">
        <f t="shared" si="5"/>
        <v>3313.1816961382028</v>
      </c>
      <c r="H47" s="6">
        <f t="shared" si="6"/>
        <v>476447.11177484685</v>
      </c>
    </row>
    <row r="48" spans="1:8" x14ac:dyDescent="0.3">
      <c r="A48" s="4">
        <v>45</v>
      </c>
      <c r="B48" s="6">
        <f>'P&amp;L (36m)'!F47</f>
        <v>15782.308737083586</v>
      </c>
      <c r="C48" s="6">
        <f>'P&amp;L (36m)'!G47</f>
        <v>11778.189746334443</v>
      </c>
      <c r="D48" s="6">
        <f t="shared" si="0"/>
        <v>25879.511512155408</v>
      </c>
      <c r="E48" s="6">
        <f t="shared" si="4"/>
        <v>14101.321765820965</v>
      </c>
      <c r="F48" s="6">
        <v>0</v>
      </c>
      <c r="G48" s="6">
        <f t="shared" si="5"/>
        <v>4004.1189907491425</v>
      </c>
      <c r="H48" s="6">
        <f t="shared" si="6"/>
        <v>480451.23076559597</v>
      </c>
    </row>
    <row r="49" spans="1:8" x14ac:dyDescent="0.3">
      <c r="A49" s="4">
        <v>46</v>
      </c>
      <c r="B49" s="6">
        <f>'P&amp;L (36m)'!F48</f>
        <v>16340.031193634772</v>
      </c>
      <c r="C49" s="6">
        <f>'P&amp;L (36m)'!G48</f>
        <v>11666.554282355028</v>
      </c>
      <c r="D49" s="6">
        <f t="shared" si="0"/>
        <v>25879.511512155408</v>
      </c>
      <c r="E49" s="6">
        <f t="shared" si="4"/>
        <v>14212.95722980038</v>
      </c>
      <c r="F49" s="6">
        <v>0</v>
      </c>
      <c r="G49" s="6">
        <f t="shared" si="5"/>
        <v>4673.4769112797439</v>
      </c>
      <c r="H49" s="6">
        <f t="shared" si="6"/>
        <v>485124.7076768757</v>
      </c>
    </row>
    <row r="50" spans="1:8" x14ac:dyDescent="0.3">
      <c r="A50" s="4">
        <v>47</v>
      </c>
      <c r="B50" s="6">
        <f>'P&amp;L (36m)'!F49</f>
        <v>16904.930575830935</v>
      </c>
      <c r="C50" s="6">
        <f>'P&amp;L (36m)'!G49</f>
        <v>11554.035037619109</v>
      </c>
      <c r="D50" s="6">
        <f t="shared" si="0"/>
        <v>25879.511512155408</v>
      </c>
      <c r="E50" s="6">
        <f t="shared" si="4"/>
        <v>14325.476474536299</v>
      </c>
      <c r="F50" s="6">
        <v>0</v>
      </c>
      <c r="G50" s="6">
        <f t="shared" si="5"/>
        <v>5350.8955382118256</v>
      </c>
      <c r="H50" s="6">
        <f t="shared" si="6"/>
        <v>490475.6032150875</v>
      </c>
    </row>
    <row r="51" spans="1:8" x14ac:dyDescent="0.3">
      <c r="A51" s="4">
        <v>48</v>
      </c>
      <c r="B51" s="6">
        <f>'P&amp;L (36m)'!F50</f>
        <v>18218.763340434394</v>
      </c>
      <c r="C51" s="6">
        <f>'P&amp;L (36m)'!G50</f>
        <v>11440.625015529029</v>
      </c>
      <c r="D51" s="6">
        <f t="shared" si="0"/>
        <v>25879.511512155408</v>
      </c>
      <c r="E51" s="6">
        <f t="shared" si="4"/>
        <v>14438.886496626379</v>
      </c>
      <c r="F51" s="6">
        <v>0</v>
      </c>
      <c r="G51" s="6">
        <f t="shared" si="5"/>
        <v>6778.1383249053652</v>
      </c>
      <c r="H51" s="6">
        <f t="shared" si="6"/>
        <v>497253.74153999286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>
      <selection activeCell="B5" sqref="B5"/>
    </sheetView>
  </sheetViews>
  <sheetFormatPr defaultRowHeight="14.4" x14ac:dyDescent="0.3"/>
  <cols>
    <col min="1" max="1" width="38.33203125" bestFit="1" customWidth="1"/>
    <col min="2" max="2" width="8" customWidth="1"/>
    <col min="3" max="3" width="23.5546875" bestFit="1" customWidth="1"/>
    <col min="4" max="4" width="54.5546875" bestFit="1" customWidth="1"/>
  </cols>
  <sheetData>
    <row r="1" spans="1:4" ht="18" x14ac:dyDescent="0.35">
      <c r="A1" s="1" t="s">
        <v>126</v>
      </c>
    </row>
    <row r="3" spans="1:4" x14ac:dyDescent="0.3">
      <c r="A3" s="3" t="s">
        <v>127</v>
      </c>
      <c r="B3" s="3" t="s">
        <v>2</v>
      </c>
      <c r="C3" s="3" t="s">
        <v>193</v>
      </c>
      <c r="D3" s="3" t="s">
        <v>192</v>
      </c>
    </row>
    <row r="4" spans="1:4" x14ac:dyDescent="0.3">
      <c r="A4" t="s">
        <v>128</v>
      </c>
      <c r="B4" s="13">
        <f>(Assumptions!B10*Assumptions!B11 + (1-Assumptions!B10)*Assumptions!B12)</f>
        <v>0.53500000000000003</v>
      </c>
      <c r="C4" s="12" t="s">
        <v>194</v>
      </c>
      <c r="D4" t="s">
        <v>191</v>
      </c>
    </row>
    <row r="5" spans="1:4" x14ac:dyDescent="0.3">
      <c r="A5" t="s">
        <v>129</v>
      </c>
      <c r="B5" s="6">
        <f>'Revenue Model'!B5 / (Assumptions!B7*Assumptions!B8*4.33*Assumptions!B9*(Assumptions!B10*Assumptions!B11 + (1-Assumptions!B10)*Assumptions!B12))</f>
        <v>21.843453208699248</v>
      </c>
      <c r="C5" t="s">
        <v>196</v>
      </c>
      <c r="D5" t="s">
        <v>195</v>
      </c>
    </row>
    <row r="6" spans="1:4" x14ac:dyDescent="0.3">
      <c r="A6" t="s">
        <v>130</v>
      </c>
      <c r="B6" s="5">
        <f>'Staffing &amp; Payroll'!E7 / 'Revenue Model'!I5</f>
        <v>0.41426966347118754</v>
      </c>
      <c r="C6" s="14" t="s">
        <v>199</v>
      </c>
      <c r="D6" t="s">
        <v>197</v>
      </c>
    </row>
    <row r="7" spans="1:4" x14ac:dyDescent="0.3">
      <c r="A7" t="s">
        <v>131</v>
      </c>
      <c r="B7" s="5">
        <f>'P&amp;L (36m)'!F4/'P&amp;L (36m)'!B4</f>
        <v>-0.28146353296646637</v>
      </c>
      <c r="C7" t="s">
        <v>200</v>
      </c>
      <c r="D7" t="s">
        <v>198</v>
      </c>
    </row>
    <row r="8" spans="1:4" x14ac:dyDescent="0.3">
      <c r="A8" t="s">
        <v>132</v>
      </c>
      <c r="B8" s="4">
        <f>IFERROR( 'Cash Flow'!H4 / ABS(AVERAGE('Cash Flow'!G5:G51)), 999)</f>
        <v>68.796704163186931</v>
      </c>
      <c r="C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C12" sqref="C12"/>
    </sheetView>
  </sheetViews>
  <sheetFormatPr defaultRowHeight="14.4" x14ac:dyDescent="0.3"/>
  <cols>
    <col min="1" max="1" width="18.5546875" bestFit="1" customWidth="1"/>
    <col min="2" max="2" width="26.109375" bestFit="1" customWidth="1"/>
    <col min="3" max="3" width="11.88671875" bestFit="1" customWidth="1"/>
    <col min="4" max="4" width="17.33203125" bestFit="1" customWidth="1"/>
    <col min="5" max="5" width="12" bestFit="1" customWidth="1"/>
    <col min="6" max="6" width="13.21875" bestFit="1" customWidth="1"/>
    <col min="7" max="7" width="39.77734375" customWidth="1"/>
  </cols>
  <sheetData>
    <row r="1" spans="1:7" ht="18" x14ac:dyDescent="0.35">
      <c r="A1" s="32" t="s">
        <v>133</v>
      </c>
      <c r="B1" s="32"/>
      <c r="C1" s="32"/>
      <c r="D1" s="32"/>
      <c r="E1" s="32"/>
      <c r="F1" s="32"/>
      <c r="G1" s="32"/>
    </row>
    <row r="3" spans="1:7" x14ac:dyDescent="0.3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3</v>
      </c>
    </row>
    <row r="4" spans="1:7" x14ac:dyDescent="0.3">
      <c r="A4" t="s">
        <v>140</v>
      </c>
      <c r="B4" t="s">
        <v>141</v>
      </c>
      <c r="C4" t="s">
        <v>142</v>
      </c>
      <c r="F4" t="s">
        <v>143</v>
      </c>
    </row>
    <row r="5" spans="1:7" x14ac:dyDescent="0.3">
      <c r="A5" t="s">
        <v>144</v>
      </c>
      <c r="B5" t="s">
        <v>145</v>
      </c>
      <c r="C5" t="s">
        <v>146</v>
      </c>
      <c r="F5" t="s">
        <v>143</v>
      </c>
    </row>
    <row r="6" spans="1:7" x14ac:dyDescent="0.3">
      <c r="A6" t="s">
        <v>147</v>
      </c>
      <c r="B6" t="s">
        <v>148</v>
      </c>
      <c r="C6" t="s">
        <v>146</v>
      </c>
      <c r="F6" t="s">
        <v>143</v>
      </c>
    </row>
    <row r="7" spans="1:7" x14ac:dyDescent="0.3">
      <c r="A7" t="s">
        <v>149</v>
      </c>
      <c r="B7" t="s">
        <v>150</v>
      </c>
      <c r="C7" t="s">
        <v>142</v>
      </c>
      <c r="F7" t="s">
        <v>143</v>
      </c>
    </row>
    <row r="8" spans="1:7" x14ac:dyDescent="0.3">
      <c r="A8" t="s">
        <v>151</v>
      </c>
      <c r="B8" t="s">
        <v>152</v>
      </c>
      <c r="C8" t="s">
        <v>142</v>
      </c>
      <c r="F8" t="s">
        <v>143</v>
      </c>
    </row>
    <row r="10" spans="1:7" x14ac:dyDescent="0.3">
      <c r="A10" s="3" t="s">
        <v>153</v>
      </c>
    </row>
    <row r="11" spans="1:7" x14ac:dyDescent="0.3">
      <c r="A11" s="3" t="s">
        <v>154</v>
      </c>
      <c r="B11" s="3" t="s">
        <v>155</v>
      </c>
      <c r="C11" s="3" t="s">
        <v>156</v>
      </c>
      <c r="D11" s="3" t="s">
        <v>157</v>
      </c>
      <c r="E11" s="3" t="s">
        <v>158</v>
      </c>
      <c r="F11" s="3" t="s">
        <v>159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H4" sqref="H4"/>
    </sheetView>
  </sheetViews>
  <sheetFormatPr defaultRowHeight="14.4" x14ac:dyDescent="0.3"/>
  <cols>
    <col min="1" max="1" width="20.109375" customWidth="1"/>
    <col min="3" max="3" width="9" customWidth="1"/>
    <col min="4" max="4" width="17.44140625" customWidth="1"/>
    <col min="5" max="5" width="8.77734375" bestFit="1" customWidth="1"/>
    <col min="6" max="6" width="8.33203125" bestFit="1" customWidth="1"/>
    <col min="7" max="7" width="10.33203125" bestFit="1" customWidth="1"/>
  </cols>
  <sheetData>
    <row r="1" spans="1:8" ht="18" x14ac:dyDescent="0.35">
      <c r="A1" s="32" t="s">
        <v>160</v>
      </c>
      <c r="B1" s="32"/>
      <c r="C1" s="32"/>
      <c r="D1" s="32"/>
      <c r="E1" s="32"/>
      <c r="F1" s="32"/>
      <c r="G1" s="32"/>
      <c r="H1" s="32"/>
    </row>
    <row r="2" spans="1:8" x14ac:dyDescent="0.3">
      <c r="A2" s="35" t="s">
        <v>168</v>
      </c>
      <c r="B2" s="35"/>
      <c r="C2" s="35"/>
      <c r="D2" s="35"/>
      <c r="E2" s="35"/>
      <c r="F2" s="35"/>
      <c r="G2" s="35"/>
      <c r="H2" s="35"/>
    </row>
    <row r="3" spans="1:8" x14ac:dyDescent="0.3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  <c r="G3" s="3" t="s">
        <v>167</v>
      </c>
      <c r="H3" s="3" t="s">
        <v>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>
      <selection activeCell="A14" sqref="A14"/>
    </sheetView>
  </sheetViews>
  <sheetFormatPr defaultRowHeight="14.4" x14ac:dyDescent="0.3"/>
  <sheetData>
    <row r="1" spans="1:8" ht="18" x14ac:dyDescent="0.35">
      <c r="A1" s="32" t="s">
        <v>169</v>
      </c>
      <c r="B1" s="32"/>
      <c r="C1" s="32"/>
      <c r="D1" s="32"/>
      <c r="E1" s="32"/>
      <c r="F1" s="32"/>
      <c r="G1" s="32"/>
      <c r="H1" s="32"/>
    </row>
    <row r="3" spans="1:8" x14ac:dyDescent="0.3">
      <c r="A3" s="36" t="s">
        <v>170</v>
      </c>
      <c r="B3" s="37"/>
      <c r="C3" s="37"/>
      <c r="D3" s="37"/>
      <c r="E3" s="37"/>
      <c r="F3" s="37"/>
      <c r="G3" s="37"/>
      <c r="H3" s="37"/>
    </row>
    <row r="4" spans="1:8" x14ac:dyDescent="0.3">
      <c r="A4" s="38" t="s">
        <v>171</v>
      </c>
      <c r="B4" s="39"/>
      <c r="C4" s="39"/>
      <c r="D4" s="39"/>
      <c r="E4" s="39"/>
      <c r="F4" s="39"/>
      <c r="G4" s="39"/>
      <c r="H4" s="39"/>
    </row>
    <row r="5" spans="1:8" x14ac:dyDescent="0.3">
      <c r="A5" s="11" t="s">
        <v>172</v>
      </c>
      <c r="B5" s="10"/>
      <c r="C5" s="10"/>
      <c r="D5" s="10"/>
      <c r="E5" s="10"/>
      <c r="F5" s="10"/>
      <c r="G5" s="10"/>
      <c r="H5" s="10"/>
    </row>
    <row r="7" spans="1:8" x14ac:dyDescent="0.3">
      <c r="A7" s="40" t="s">
        <v>173</v>
      </c>
      <c r="B7" s="41"/>
      <c r="C7" s="41"/>
      <c r="D7" s="41"/>
      <c r="E7" s="41"/>
      <c r="F7" s="41"/>
      <c r="G7" s="41"/>
      <c r="H7" s="41"/>
    </row>
    <row r="8" spans="1:8" x14ac:dyDescent="0.3">
      <c r="A8" s="7" t="s">
        <v>174</v>
      </c>
    </row>
    <row r="9" spans="1:8" x14ac:dyDescent="0.3">
      <c r="A9" s="7" t="s">
        <v>175</v>
      </c>
    </row>
    <row r="10" spans="1:8" x14ac:dyDescent="0.3">
      <c r="A10" s="7" t="s">
        <v>176</v>
      </c>
    </row>
    <row r="11" spans="1:8" x14ac:dyDescent="0.3">
      <c r="A11" s="7" t="s">
        <v>177</v>
      </c>
    </row>
    <row r="13" spans="1:8" x14ac:dyDescent="0.3">
      <c r="A13" s="40" t="s">
        <v>178</v>
      </c>
      <c r="B13" s="41"/>
      <c r="C13" s="41"/>
      <c r="D13" s="41"/>
      <c r="E13" s="41"/>
      <c r="F13" s="41"/>
      <c r="G13" s="41"/>
      <c r="H13" s="41"/>
    </row>
    <row r="14" spans="1:8" x14ac:dyDescent="0.3">
      <c r="A14" s="2" t="s">
        <v>179</v>
      </c>
    </row>
  </sheetData>
  <mergeCells count="5">
    <mergeCell ref="A1:H1"/>
    <mergeCell ref="A3:H3"/>
    <mergeCell ref="A4:H4"/>
    <mergeCell ref="A7:H7"/>
    <mergeCell ref="A13:H13"/>
  </mergeCells>
  <hyperlinks>
    <hyperlink ref="A8" r:id="rId1" xr:uid="{00000000-0004-0000-0B00-000000000000}"/>
    <hyperlink ref="A9" r:id="rId2" xr:uid="{00000000-0004-0000-0B00-000001000000}"/>
    <hyperlink ref="A10" r:id="rId3" xr:uid="{00000000-0004-0000-0B00-000002000000}"/>
    <hyperlink ref="A11" r:id="rId4" xr:uid="{00000000-0004-0000-0B00-000003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40F-45B5-4E6E-A8AD-5B061F80FDAC}">
  <dimension ref="A1:J63"/>
  <sheetViews>
    <sheetView topLeftCell="A22" workbookViewId="0">
      <selection activeCell="E37" sqref="E37"/>
    </sheetView>
  </sheetViews>
  <sheetFormatPr defaultRowHeight="14.4" x14ac:dyDescent="0.3"/>
  <cols>
    <col min="1" max="1" width="44.44140625" customWidth="1"/>
    <col min="2" max="2" width="19.77734375" bestFit="1" customWidth="1"/>
    <col min="3" max="3" width="17.77734375" bestFit="1" customWidth="1"/>
    <col min="4" max="4" width="20.109375" bestFit="1" customWidth="1"/>
    <col min="5" max="5" width="40.77734375" bestFit="1" customWidth="1"/>
    <col min="6" max="6" width="20" bestFit="1" customWidth="1"/>
    <col min="10" max="10" width="14.33203125" bestFit="1" customWidth="1"/>
  </cols>
  <sheetData>
    <row r="1" spans="1:10" ht="18" x14ac:dyDescent="0.35">
      <c r="A1" s="32" t="s">
        <v>343</v>
      </c>
      <c r="B1" s="32"/>
      <c r="C1" s="32"/>
      <c r="D1" s="32"/>
      <c r="E1" s="32"/>
      <c r="F1" s="32"/>
    </row>
    <row r="2" spans="1:10" x14ac:dyDescent="0.3">
      <c r="A2" s="2" t="s">
        <v>342</v>
      </c>
    </row>
    <row r="4" spans="1:10" x14ac:dyDescent="0.3">
      <c r="A4" s="3" t="s">
        <v>341</v>
      </c>
      <c r="E4" s="3" t="s">
        <v>340</v>
      </c>
    </row>
    <row r="5" spans="1:10" x14ac:dyDescent="0.3">
      <c r="A5" t="s">
        <v>339</v>
      </c>
      <c r="B5" s="4">
        <v>8</v>
      </c>
      <c r="E5" t="s">
        <v>338</v>
      </c>
      <c r="F5" s="16">
        <v>70</v>
      </c>
    </row>
    <row r="6" spans="1:10" x14ac:dyDescent="0.3">
      <c r="A6" t="s">
        <v>337</v>
      </c>
      <c r="B6" s="4">
        <v>7</v>
      </c>
      <c r="E6" t="s">
        <v>336</v>
      </c>
      <c r="F6" s="16">
        <v>50</v>
      </c>
    </row>
    <row r="7" spans="1:10" x14ac:dyDescent="0.3">
      <c r="A7" t="s">
        <v>335</v>
      </c>
      <c r="B7" s="4">
        <v>14</v>
      </c>
      <c r="E7" t="s">
        <v>334</v>
      </c>
      <c r="F7" s="5">
        <v>0.25</v>
      </c>
    </row>
    <row r="8" spans="1:10" x14ac:dyDescent="0.3">
      <c r="A8" t="s">
        <v>333</v>
      </c>
      <c r="B8" s="5">
        <v>0.5</v>
      </c>
      <c r="E8" t="s">
        <v>332</v>
      </c>
      <c r="F8" s="16">
        <v>8</v>
      </c>
    </row>
    <row r="9" spans="1:10" x14ac:dyDescent="0.3">
      <c r="A9" t="s">
        <v>331</v>
      </c>
      <c r="B9" s="5">
        <v>0.2857142857142857</v>
      </c>
      <c r="E9" t="s">
        <v>330</v>
      </c>
      <c r="F9" s="16">
        <v>12</v>
      </c>
    </row>
    <row r="10" spans="1:10" x14ac:dyDescent="0.3">
      <c r="A10" t="s">
        <v>329</v>
      </c>
      <c r="B10" s="4">
        <v>90</v>
      </c>
      <c r="E10" t="s">
        <v>328</v>
      </c>
      <c r="F10" s="4">
        <v>120</v>
      </c>
    </row>
    <row r="11" spans="1:10" x14ac:dyDescent="0.3">
      <c r="A11" t="s">
        <v>327</v>
      </c>
      <c r="B11" s="4">
        <v>5</v>
      </c>
      <c r="E11" t="s">
        <v>326</v>
      </c>
      <c r="F11" s="4">
        <v>6</v>
      </c>
    </row>
    <row r="12" spans="1:10" x14ac:dyDescent="0.3">
      <c r="E12" s="3" t="s">
        <v>325</v>
      </c>
    </row>
    <row r="13" spans="1:10" x14ac:dyDescent="0.3">
      <c r="A13" s="3" t="s">
        <v>324</v>
      </c>
      <c r="B13" s="3" t="s">
        <v>323</v>
      </c>
      <c r="E13" t="s">
        <v>321</v>
      </c>
      <c r="F13" s="4">
        <f>Assumptions!B16</f>
        <v>50</v>
      </c>
      <c r="J13" s="3" t="s">
        <v>322</v>
      </c>
    </row>
    <row r="14" spans="1:10" x14ac:dyDescent="0.3">
      <c r="A14" t="s">
        <v>320</v>
      </c>
      <c r="B14" s="5">
        <v>0.5</v>
      </c>
      <c r="E14" t="s">
        <v>319</v>
      </c>
      <c r="F14" s="5">
        <v>0.6</v>
      </c>
      <c r="J14" s="5">
        <v>0.75</v>
      </c>
    </row>
    <row r="15" spans="1:10" x14ac:dyDescent="0.3">
      <c r="A15" t="s">
        <v>318</v>
      </c>
      <c r="B15" s="5">
        <v>0.3</v>
      </c>
      <c r="E15" t="s">
        <v>317</v>
      </c>
      <c r="F15" s="18">
        <v>2</v>
      </c>
      <c r="J15" s="5">
        <v>0.4</v>
      </c>
    </row>
    <row r="16" spans="1:10" x14ac:dyDescent="0.3">
      <c r="A16" t="s">
        <v>316</v>
      </c>
      <c r="B16" s="5">
        <v>0.7</v>
      </c>
      <c r="E16" t="s">
        <v>315</v>
      </c>
      <c r="F16" s="18">
        <v>1.2</v>
      </c>
      <c r="J16" s="5">
        <v>0.85</v>
      </c>
    </row>
    <row r="17" spans="1:10" x14ac:dyDescent="0.3">
      <c r="A17" t="s">
        <v>314</v>
      </c>
      <c r="B17" s="5">
        <v>0.4</v>
      </c>
      <c r="J17" s="5">
        <v>0.5</v>
      </c>
    </row>
    <row r="18" spans="1:10" x14ac:dyDescent="0.3">
      <c r="A18" t="s">
        <v>313</v>
      </c>
      <c r="B18" s="5">
        <v>0.7</v>
      </c>
      <c r="J18" s="5">
        <v>0.7</v>
      </c>
    </row>
    <row r="19" spans="1:10" x14ac:dyDescent="0.3">
      <c r="A19" t="s">
        <v>312</v>
      </c>
      <c r="B19" s="5">
        <v>0.05</v>
      </c>
      <c r="J19" s="5">
        <v>0.05</v>
      </c>
    </row>
    <row r="20" spans="1:10" x14ac:dyDescent="0.3">
      <c r="A20" t="s">
        <v>311</v>
      </c>
      <c r="B20" s="5">
        <v>0.05</v>
      </c>
      <c r="J20" s="5">
        <v>0.05</v>
      </c>
    </row>
    <row r="21" spans="1:10" x14ac:dyDescent="0.3">
      <c r="A21" t="s">
        <v>310</v>
      </c>
      <c r="B21" s="5">
        <v>0.5</v>
      </c>
      <c r="J21" s="5">
        <v>0.7</v>
      </c>
    </row>
    <row r="22" spans="1:10" x14ac:dyDescent="0.3">
      <c r="B22" s="5"/>
    </row>
    <row r="23" spans="1:10" x14ac:dyDescent="0.3">
      <c r="A23" s="3" t="s">
        <v>309</v>
      </c>
    </row>
    <row r="24" spans="1:10" x14ac:dyDescent="0.3">
      <c r="A24" t="s">
        <v>308</v>
      </c>
      <c r="B24" s="4">
        <f>B5*B6*4.33*B7</f>
        <v>3394.7200000000003</v>
      </c>
    </row>
    <row r="25" spans="1:10" x14ac:dyDescent="0.3">
      <c r="A25" t="s">
        <v>307</v>
      </c>
      <c r="B25" s="4">
        <f>B24*B8</f>
        <v>1697.3600000000001</v>
      </c>
    </row>
    <row r="26" spans="1:10" x14ac:dyDescent="0.3">
      <c r="A26" t="s">
        <v>306</v>
      </c>
      <c r="B26" s="4">
        <f>B24*(1-B8)</f>
        <v>1697.3600000000001</v>
      </c>
    </row>
    <row r="27" spans="1:10" x14ac:dyDescent="0.3">
      <c r="A27" t="s">
        <v>305</v>
      </c>
      <c r="B27" s="4">
        <f>FLOOR((B7*60)/(B10+B11),1)</f>
        <v>8</v>
      </c>
    </row>
    <row r="28" spans="1:10" x14ac:dyDescent="0.3">
      <c r="A28" t="s">
        <v>304</v>
      </c>
      <c r="B28" s="13">
        <f>B21</f>
        <v>0.5</v>
      </c>
    </row>
    <row r="29" spans="1:10" x14ac:dyDescent="0.3">
      <c r="A29" t="s">
        <v>303</v>
      </c>
      <c r="B29" s="13">
        <f>(1-B21)</f>
        <v>0.5</v>
      </c>
    </row>
    <row r="30" spans="1:10" x14ac:dyDescent="0.3">
      <c r="A30" t="s">
        <v>302</v>
      </c>
      <c r="B30" s="5">
        <f>(1-B9)*B14+ B8*B16</f>
        <v>0.70714285714285707</v>
      </c>
    </row>
    <row r="31" spans="1:10" x14ac:dyDescent="0.3">
      <c r="A31" t="s">
        <v>301</v>
      </c>
      <c r="B31" s="5">
        <f>(1-B9)*B15 + B9*B17</f>
        <v>0.32857142857142857</v>
      </c>
    </row>
    <row r="32" spans="1:10" x14ac:dyDescent="0.3">
      <c r="B32" s="5"/>
    </row>
    <row r="33" spans="1:6" x14ac:dyDescent="0.3">
      <c r="A33" s="3" t="s">
        <v>300</v>
      </c>
    </row>
    <row r="34" spans="1:6" x14ac:dyDescent="0.3">
      <c r="A34" s="3" t="s">
        <v>291</v>
      </c>
      <c r="B34" s="3" t="s">
        <v>299</v>
      </c>
      <c r="C34" s="3" t="s">
        <v>298</v>
      </c>
      <c r="D34" s="3" t="s">
        <v>297</v>
      </c>
      <c r="E34" s="3" t="s">
        <v>296</v>
      </c>
      <c r="F34" s="3" t="s">
        <v>295</v>
      </c>
    </row>
    <row r="35" spans="1:6" x14ac:dyDescent="0.3">
      <c r="A35" t="s">
        <v>181</v>
      </c>
      <c r="B35" s="4">
        <f>B25*$B$30*$B$21*B18*(1+B19)</f>
        <v>441.10143000000005</v>
      </c>
      <c r="C35" s="4">
        <f>B26*$B$31*$B$21*$B$18*(1+$B$19)</f>
        <v>204.95622000000003</v>
      </c>
      <c r="D35" s="4">
        <f>B35+C35</f>
        <v>646.05765000000008</v>
      </c>
      <c r="E35" s="16">
        <f>IFERROR(((F5*(1-F7))*B35 + (F6*(1-F7))*C35)/D35,0)</f>
        <v>47.741379310344833</v>
      </c>
      <c r="F35" s="16">
        <f>D35*E35</f>
        <v>30843.683325000005</v>
      </c>
    </row>
    <row r="36" spans="1:6" x14ac:dyDescent="0.3">
      <c r="A36" t="s">
        <v>285</v>
      </c>
      <c r="B36" s="4">
        <f>B25*$B$30*$B$21*(1-$B$18)</f>
        <v>180.04140000000004</v>
      </c>
      <c r="C36" s="4">
        <f>B26*$B$31*$B$21*(1-$B$18)</f>
        <v>83.655600000000021</v>
      </c>
      <c r="D36" s="4">
        <f>B36+C36</f>
        <v>263.69700000000006</v>
      </c>
      <c r="E36" s="16">
        <f>IFERROR((F5*B36 + F6*C36)/D36,0)</f>
        <v>63.655172413793103</v>
      </c>
      <c r="F36" s="16">
        <f>D36*E36</f>
        <v>16785.678000000004</v>
      </c>
    </row>
    <row r="37" spans="1:6" x14ac:dyDescent="0.3">
      <c r="A37" t="s">
        <v>294</v>
      </c>
      <c r="B37" s="4">
        <f>B35+B36</f>
        <v>621.14283000000012</v>
      </c>
      <c r="C37" s="4">
        <f>C35+C36</f>
        <v>288.61182000000008</v>
      </c>
      <c r="D37" s="4">
        <f>D35+D36</f>
        <v>909.75465000000008</v>
      </c>
      <c r="E37" s="16">
        <f>IFERROR((E35*D35+E36*D36)/D37,0)</f>
        <v>52.354072963518242</v>
      </c>
      <c r="F37" s="16">
        <f>F35+F36</f>
        <v>47629.361325000005</v>
      </c>
    </row>
    <row r="39" spans="1:6" x14ac:dyDescent="0.3">
      <c r="A39" t="s">
        <v>293</v>
      </c>
      <c r="B39" s="16">
        <f>$E$37*$B$37*$B$20</f>
        <v>1625.9678521293108</v>
      </c>
    </row>
    <row r="41" spans="1:6" x14ac:dyDescent="0.3">
      <c r="A41" s="3" t="s">
        <v>292</v>
      </c>
    </row>
    <row r="42" spans="1:6" x14ac:dyDescent="0.3">
      <c r="A42" s="3" t="s">
        <v>291</v>
      </c>
      <c r="B42" s="3" t="s">
        <v>290</v>
      </c>
      <c r="C42" s="3" t="s">
        <v>289</v>
      </c>
      <c r="D42" s="3" t="s">
        <v>288</v>
      </c>
      <c r="E42" s="3" t="s">
        <v>287</v>
      </c>
      <c r="F42" s="3" t="s">
        <v>286</v>
      </c>
    </row>
    <row r="43" spans="1:6" x14ac:dyDescent="0.3">
      <c r="A43" t="s">
        <v>181</v>
      </c>
      <c r="B43" s="4">
        <f>(B29*B24)*$B$18</f>
        <v>1188.152</v>
      </c>
      <c r="C43" s="4">
        <f>IFERROR(B43/(F10/60),0)</f>
        <v>594.07600000000002</v>
      </c>
      <c r="D43" s="4">
        <f>F11</f>
        <v>6</v>
      </c>
      <c r="E43" s="16">
        <f>F8</f>
        <v>8</v>
      </c>
      <c r="F43" s="16">
        <f>C43*E43</f>
        <v>4752.6080000000002</v>
      </c>
    </row>
    <row r="44" spans="1:6" x14ac:dyDescent="0.3">
      <c r="A44" t="s">
        <v>285</v>
      </c>
      <c r="B44" s="4">
        <f>B29*B24*(1-$B$18)</f>
        <v>509.20800000000014</v>
      </c>
      <c r="C44" s="4">
        <f>IFERROR(B44/(F10/60),0)</f>
        <v>254.60400000000007</v>
      </c>
      <c r="D44" s="4">
        <f>F11</f>
        <v>6</v>
      </c>
      <c r="E44" s="16">
        <f>F9</f>
        <v>12</v>
      </c>
      <c r="F44" s="16">
        <f>C44*E44</f>
        <v>3055.248000000001</v>
      </c>
    </row>
    <row r="45" spans="1:6" x14ac:dyDescent="0.3">
      <c r="A45" t="s">
        <v>284</v>
      </c>
      <c r="B45" s="4">
        <f>B43+B44</f>
        <v>1697.3600000000001</v>
      </c>
      <c r="C45" s="4">
        <f>C43+C44</f>
        <v>848.68000000000006</v>
      </c>
      <c r="F45" s="16">
        <f>F43+F44</f>
        <v>7807.8560000000016</v>
      </c>
    </row>
    <row r="47" spans="1:6" x14ac:dyDescent="0.3">
      <c r="A47" s="3" t="s">
        <v>283</v>
      </c>
    </row>
    <row r="48" spans="1:6" x14ac:dyDescent="0.3">
      <c r="A48" s="3" t="s">
        <v>127</v>
      </c>
      <c r="B48" s="3" t="s">
        <v>2</v>
      </c>
    </row>
    <row r="49" spans="1:2" x14ac:dyDescent="0.3">
      <c r="A49" t="s">
        <v>282</v>
      </c>
      <c r="B49" s="16">
        <f>$F$37+$B$39</f>
        <v>49255.329177129315</v>
      </c>
    </row>
    <row r="50" spans="1:2" x14ac:dyDescent="0.3">
      <c r="A50" t="s">
        <v>281</v>
      </c>
      <c r="B50" s="16">
        <f>$F$45</f>
        <v>7807.8560000000016</v>
      </c>
    </row>
    <row r="51" spans="1:2" x14ac:dyDescent="0.3">
      <c r="A51" t="s">
        <v>280</v>
      </c>
      <c r="B51" s="16">
        <f>$B$49+$B$50</f>
        <v>57063.185177129315</v>
      </c>
    </row>
    <row r="52" spans="1:2" x14ac:dyDescent="0.3">
      <c r="A52" t="s">
        <v>279</v>
      </c>
      <c r="B52" s="16">
        <f>$B$39</f>
        <v>1625.9678521293108</v>
      </c>
    </row>
    <row r="53" spans="1:2" x14ac:dyDescent="0.3">
      <c r="A53" t="s">
        <v>278</v>
      </c>
      <c r="B53" s="4">
        <f>$D$37</f>
        <v>909.75465000000008</v>
      </c>
    </row>
    <row r="54" spans="1:2" x14ac:dyDescent="0.3">
      <c r="A54" t="s">
        <v>277</v>
      </c>
      <c r="B54" s="4">
        <f>$B$45</f>
        <v>1697.3600000000001</v>
      </c>
    </row>
    <row r="55" spans="1:2" x14ac:dyDescent="0.3">
      <c r="A55" t="s">
        <v>276</v>
      </c>
      <c r="B55" s="5">
        <f>(D37+B45)/B24</f>
        <v>0.76799107142857148</v>
      </c>
    </row>
    <row r="56" spans="1:2" x14ac:dyDescent="0.3">
      <c r="A56" t="s">
        <v>275</v>
      </c>
      <c r="B56" s="16">
        <f>(F37+F45)/(D37+B45)</f>
        <v>21.263820263907455</v>
      </c>
    </row>
    <row r="57" spans="1:2" x14ac:dyDescent="0.3">
      <c r="A57" t="s">
        <v>274</v>
      </c>
      <c r="B57" s="5">
        <f>IFERROR(F35/F37,0)</f>
        <v>0.64757709251101325</v>
      </c>
    </row>
    <row r="58" spans="1:2" x14ac:dyDescent="0.3">
      <c r="A58" t="s">
        <v>273</v>
      </c>
      <c r="B58" s="5">
        <f>IFERROR(F43/F45,0)</f>
        <v>0.60869565217391297</v>
      </c>
    </row>
    <row r="60" spans="1:2" x14ac:dyDescent="0.3">
      <c r="A60" s="3" t="s">
        <v>272</v>
      </c>
    </row>
    <row r="61" spans="1:2" x14ac:dyDescent="0.3">
      <c r="A61" s="2" t="s">
        <v>271</v>
      </c>
    </row>
    <row r="62" spans="1:2" x14ac:dyDescent="0.3">
      <c r="A62" s="2" t="s">
        <v>270</v>
      </c>
    </row>
    <row r="63" spans="1:2" x14ac:dyDescent="0.3">
      <c r="A63" s="2" t="s">
        <v>269</v>
      </c>
    </row>
  </sheetData>
  <mergeCells count="1">
    <mergeCell ref="A1:F1"/>
  </mergeCells>
  <pageMargins left="0.7" right="0.7" top="0.75" bottom="0.75" header="0.3" footer="0.3"/>
  <ignoredErrors>
    <ignoredError sqref="E3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43</vt:i4>
      </vt:variant>
    </vt:vector>
  </HeadingPairs>
  <TitlesOfParts>
    <vt:vector size="58" baseType="lpstr">
      <vt:lpstr>Assumptions</vt:lpstr>
      <vt:lpstr>CapEx &amp; Sources</vt:lpstr>
      <vt:lpstr>Financing</vt:lpstr>
      <vt:lpstr>Memberships Revenue</vt:lpstr>
      <vt:lpstr>Court Revenue (36m)</vt:lpstr>
      <vt:lpstr>Revenue Model</vt:lpstr>
      <vt:lpstr>Staffing &amp; Payroll</vt:lpstr>
      <vt:lpstr>OPEX</vt:lpstr>
      <vt:lpstr>P&amp;L (36m)</vt:lpstr>
      <vt:lpstr>Cash Flow</vt:lpstr>
      <vt:lpstr>KPIs</vt:lpstr>
      <vt:lpstr>Maintenance &amp; Safety</vt:lpstr>
      <vt:lpstr>Events &amp; Leagues</vt:lpstr>
      <vt:lpstr>README + Links</vt:lpstr>
      <vt:lpstr>Court Revenue OLD</vt:lpstr>
      <vt:lpstr>CafeCOGS</vt:lpstr>
      <vt:lpstr>CafeGross</vt:lpstr>
      <vt:lpstr>CafeHrs</vt:lpstr>
      <vt:lpstr>CafeWage</vt:lpstr>
      <vt:lpstr>Cleaning</vt:lpstr>
      <vt:lpstr>CoachHrs</vt:lpstr>
      <vt:lpstr>CoachWage</vt:lpstr>
      <vt:lpstr>DaysOpenPerWeek</vt:lpstr>
      <vt:lpstr>FrontDeskHrs</vt:lpstr>
      <vt:lpstr>FrontDeskWage</vt:lpstr>
      <vt:lpstr>HoursOpenPerDay</vt:lpstr>
      <vt:lpstr>Insurance</vt:lpstr>
      <vt:lpstr>LeagueTeamFee</vt:lpstr>
      <vt:lpstr>LeagueTeams</vt:lpstr>
      <vt:lpstr>LessonRate</vt:lpstr>
      <vt:lpstr>LessonsPerWeek</vt:lpstr>
      <vt:lpstr>LoanAPR</vt:lpstr>
      <vt:lpstr>LoanPrincipal</vt:lpstr>
      <vt:lpstr>LoanTerm</vt:lpstr>
      <vt:lpstr>Marketing</vt:lpstr>
      <vt:lpstr>Members</vt:lpstr>
      <vt:lpstr>MembershipFee</vt:lpstr>
      <vt:lpstr>MiscOpex</vt:lpstr>
      <vt:lpstr>MonthlyCOGS</vt:lpstr>
      <vt:lpstr>MonthlyDebtService</vt:lpstr>
      <vt:lpstr>MonthlyOpex</vt:lpstr>
      <vt:lpstr>MonthlyPayroll</vt:lpstr>
      <vt:lpstr>NumCourts</vt:lpstr>
      <vt:lpstr>OpeningCash</vt:lpstr>
      <vt:lpstr>PeakHoursShare</vt:lpstr>
      <vt:lpstr>RateOffPeak</vt:lpstr>
      <vt:lpstr>RatePeak</vt:lpstr>
      <vt:lpstr>Rent</vt:lpstr>
      <vt:lpstr>RetailCOGS</vt:lpstr>
      <vt:lpstr>RetailGross</vt:lpstr>
      <vt:lpstr>SeasonsPerYear</vt:lpstr>
      <vt:lpstr>Software</vt:lpstr>
      <vt:lpstr>TotalCapEx</vt:lpstr>
      <vt:lpstr>TotalRevenueRange</vt:lpstr>
      <vt:lpstr>TurnTimeMin</vt:lpstr>
      <vt:lpstr>Utilities</vt:lpstr>
      <vt:lpstr>UtilOffPeak</vt:lpstr>
      <vt:lpstr>UtilPeak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Javaid</dc:creator>
  <cp:lastModifiedBy>Osman Javaid</cp:lastModifiedBy>
  <dcterms:created xsi:type="dcterms:W3CDTF">2025-11-08T20:22:57Z</dcterms:created>
  <dcterms:modified xsi:type="dcterms:W3CDTF">2025-11-24T21:16:51Z</dcterms:modified>
</cp:coreProperties>
</file>